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i unidad\01.@SENA.2023\00.pruebas2020\01.SENA\00.2026\HORARIOS\02.trimestre\"/>
    </mc:Choice>
  </mc:AlternateContent>
  <xr:revisionPtr revIDLastSave="0" documentId="13_ncr:1_{6B74B2A6-8E3C-4309-BB36-09F3B89B9FB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_3314566" sheetId="5" r:id="rId1"/>
    <sheet name="II_3314566" sheetId="6" r:id="rId2"/>
    <sheet name="Competencias" sheetId="1" r:id="rId3"/>
    <sheet name="Trimestres" sheetId="2" r:id="rId4"/>
    <sheet name="Conocimientos" sheetId="3" r:id="rId5"/>
    <sheet name="Resultado  Filtro" sheetId="4" r:id="rId6"/>
  </sheets>
  <definedNames>
    <definedName name="_xlnm._FilterDatabase" localSheetId="5" hidden="1">'Resultado  Filtro'!$B$2:$I$36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6" l="1"/>
  <c r="M84" i="6"/>
  <c r="L84" i="6"/>
  <c r="K84" i="6"/>
  <c r="J84" i="6"/>
  <c r="I84" i="6"/>
  <c r="H84" i="6"/>
  <c r="F82" i="6"/>
  <c r="F84" i="6" s="1"/>
  <c r="N79" i="6"/>
  <c r="M79" i="6"/>
  <c r="L79" i="6"/>
  <c r="K79" i="6"/>
  <c r="J79" i="6"/>
  <c r="I79" i="6"/>
  <c r="H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F46" i="6"/>
  <c r="G46" i="6" s="1"/>
  <c r="F45" i="6"/>
  <c r="G45" i="6" s="1"/>
  <c r="G44" i="6"/>
  <c r="F44" i="6"/>
  <c r="F43" i="6"/>
  <c r="G43" i="6" s="1"/>
  <c r="F42" i="6"/>
  <c r="G42" i="6" s="1"/>
  <c r="G41" i="6"/>
  <c r="F41" i="6"/>
  <c r="G40" i="6"/>
  <c r="F40" i="6"/>
  <c r="F39" i="6"/>
  <c r="G39" i="6" s="1"/>
  <c r="G38" i="6"/>
  <c r="G37" i="6"/>
  <c r="F36" i="6"/>
  <c r="F79" i="6" s="1"/>
  <c r="G35" i="6"/>
  <c r="G34" i="6"/>
  <c r="G33" i="6"/>
  <c r="G32" i="6"/>
  <c r="N30" i="6"/>
  <c r="M30" i="6"/>
  <c r="L30" i="6"/>
  <c r="K30" i="6"/>
  <c r="J30" i="6"/>
  <c r="I30" i="6"/>
  <c r="H30" i="6"/>
  <c r="F30" i="6"/>
  <c r="G29" i="6"/>
  <c r="G28" i="6"/>
  <c r="G27" i="6"/>
  <c r="G26" i="6"/>
  <c r="G25" i="6"/>
  <c r="G24" i="6"/>
  <c r="G23" i="6"/>
  <c r="G22" i="6"/>
  <c r="G21" i="6"/>
  <c r="G20" i="6"/>
  <c r="G19" i="6"/>
  <c r="G18" i="6"/>
  <c r="D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N84" i="5"/>
  <c r="M84" i="5"/>
  <c r="L84" i="5"/>
  <c r="K84" i="5"/>
  <c r="J84" i="5"/>
  <c r="I84" i="5"/>
  <c r="H84" i="5"/>
  <c r="F82" i="5"/>
  <c r="N79" i="5"/>
  <c r="M79" i="5"/>
  <c r="L79" i="5"/>
  <c r="K79" i="5"/>
  <c r="J79" i="5"/>
  <c r="I79" i="5"/>
  <c r="H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G38" i="5"/>
  <c r="G37" i="5"/>
  <c r="F36" i="5"/>
  <c r="G35" i="5"/>
  <c r="G34" i="5"/>
  <c r="G33" i="5"/>
  <c r="G32" i="5"/>
  <c r="N30" i="5"/>
  <c r="M30" i="5"/>
  <c r="L30" i="5"/>
  <c r="K30" i="5"/>
  <c r="J30" i="5"/>
  <c r="I30" i="5"/>
  <c r="H30" i="5"/>
  <c r="F30" i="5"/>
  <c r="G29" i="5"/>
  <c r="G28" i="5"/>
  <c r="G27" i="5"/>
  <c r="G26" i="5"/>
  <c r="G25" i="5"/>
  <c r="G24" i="5"/>
  <c r="G23" i="5"/>
  <c r="G22" i="5"/>
  <c r="G21" i="5"/>
  <c r="G20" i="5"/>
  <c r="G19" i="5"/>
  <c r="G18" i="5"/>
  <c r="D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K26" i="4"/>
  <c r="K21" i="4"/>
  <c r="J21" i="4"/>
  <c r="L21" i="4" s="1"/>
  <c r="K17" i="4"/>
  <c r="J17" i="4"/>
  <c r="L17" i="4" s="1"/>
  <c r="K13" i="4"/>
  <c r="J13" i="4"/>
  <c r="L13" i="4" s="1"/>
  <c r="K9" i="4"/>
  <c r="J9" i="4"/>
  <c r="L9" i="4" s="1"/>
  <c r="K3" i="4"/>
  <c r="J3" i="4"/>
  <c r="L3" i="4" s="1"/>
  <c r="D57" i="2"/>
  <c r="H44" i="2"/>
  <c r="D44" i="2"/>
  <c r="H30" i="2"/>
  <c r="D30" i="2"/>
  <c r="H14" i="2"/>
  <c r="D14" i="2"/>
  <c r="N84" i="1"/>
  <c r="M84" i="1"/>
  <c r="L84" i="1"/>
  <c r="K84" i="1"/>
  <c r="J84" i="1"/>
  <c r="I84" i="1"/>
  <c r="H84" i="1"/>
  <c r="F82" i="1"/>
  <c r="N79" i="1"/>
  <c r="M79" i="1"/>
  <c r="L79" i="1"/>
  <c r="K79" i="1"/>
  <c r="J79" i="1"/>
  <c r="I79" i="1"/>
  <c r="H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G38" i="1"/>
  <c r="G37" i="1"/>
  <c r="F36" i="1"/>
  <c r="G35" i="1"/>
  <c r="G34" i="1"/>
  <c r="G33" i="1"/>
  <c r="G32" i="1"/>
  <c r="N30" i="1"/>
  <c r="M30" i="1"/>
  <c r="L30" i="1"/>
  <c r="K30" i="1"/>
  <c r="J30" i="1"/>
  <c r="I30" i="1"/>
  <c r="H30" i="1"/>
  <c r="F30" i="1"/>
  <c r="G29" i="1"/>
  <c r="G28" i="1"/>
  <c r="G27" i="1"/>
  <c r="G26" i="1"/>
  <c r="G25" i="1"/>
  <c r="G24" i="1"/>
  <c r="G23" i="1"/>
  <c r="G22" i="1"/>
  <c r="G21" i="1"/>
  <c r="G20" i="1"/>
  <c r="G19" i="1"/>
  <c r="G18" i="1"/>
  <c r="D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30" i="1" s="1"/>
  <c r="G30" i="6" l="1"/>
  <c r="G36" i="6"/>
  <c r="G79" i="6" s="1"/>
  <c r="G30" i="5"/>
  <c r="F79" i="5"/>
  <c r="G36" i="5"/>
  <c r="G79" i="5" s="1"/>
  <c r="F84" i="5"/>
  <c r="F79" i="1"/>
  <c r="G36" i="1"/>
  <c r="G79" i="1" s="1"/>
  <c r="F84" i="1"/>
</calcChain>
</file>

<file path=xl/sharedStrings.xml><?xml version="1.0" encoding="utf-8"?>
<sst xmlns="http://schemas.openxmlformats.org/spreadsheetml/2006/main" count="950" uniqueCount="284">
  <si>
    <t>Código Norma</t>
  </si>
  <si>
    <t>Horas</t>
  </si>
  <si>
    <t>Competencia</t>
  </si>
  <si>
    <t>HORAS</t>
  </si>
  <si>
    <t>REST</t>
  </si>
  <si>
    <t>1º</t>
  </si>
  <si>
    <t>2º</t>
  </si>
  <si>
    <t>3º</t>
  </si>
  <si>
    <t>4º</t>
  </si>
  <si>
    <t>5º</t>
  </si>
  <si>
    <t>6º</t>
  </si>
  <si>
    <t>7º</t>
  </si>
  <si>
    <t>Trim Calif</t>
  </si>
  <si>
    <t>Resultados</t>
  </si>
  <si>
    <t>Ciclo SW</t>
  </si>
  <si>
    <t>ÁREA TÉCNICA</t>
  </si>
  <si>
    <t>ESPECIFICACIÓN DE REQUISITOS DEL SOFTWARE</t>
  </si>
  <si>
    <t>1º Trim</t>
  </si>
  <si>
    <t>01 CARACTERIZAR LOS PROCESOS DE LA ORGANIZACIÓN DE ACUERDO CON EL SOFTWARE A CONSTRUIR.</t>
  </si>
  <si>
    <t>0- REQUISITOS</t>
  </si>
  <si>
    <t>02 RECOLECTAR INFORMACIÓN DEL SOFTWARE A CONSTRUIR DE ACUERDO CON LAS NECESIDADES DEL
CLIENTE.</t>
  </si>
  <si>
    <t>03 ESTABLECER LOS REQUISITOS DEL SOFTWARE DE ACUERDO CON LA INFORMACIÓN RECOLECTADA.</t>
  </si>
  <si>
    <t>04 VALIDAR EL INFORME DE REQUISITOS DE ACUERDO CON LAS NECESIDADES DEL CLIENTE.</t>
  </si>
  <si>
    <t>ANÁLISIS DE LA ESPECIFICACIÓN DE REQUISITOS DEL SOFTWARE</t>
  </si>
  <si>
    <t>2º Trim</t>
  </si>
  <si>
    <t>01 PLANEAR ACTIVIDADES DE ANÁLISIS DE ACUERDO CON LA METODOLOGÍA SELECCIONADA.</t>
  </si>
  <si>
    <t>1- ANÁLISIS</t>
  </si>
  <si>
    <t>02 MODELAR LAS FUNCIONES DEL SOFTWARE DE ACUERDO CON EL INFORME DE REQUISITOS.</t>
  </si>
  <si>
    <t>03 DESARROLLAR PROCESOS LÓGICOS A TRAVÉS DE LA IMPLEMENTACIÓN DE ALGORITMOS.</t>
  </si>
  <si>
    <t>3º Trim</t>
  </si>
  <si>
    <t>04 VERIFICAR LOS MODELOS REALIZADOS EN LA FASE DE ANÁLISIS DE ACUERDO CON LO ESTABLECIDO EN
EL INFORME DE REQUISITOS.</t>
  </si>
  <si>
    <t>MODELADO DE LOS ARTEFACTOS DEL SOFTWARE</t>
  </si>
  <si>
    <t>01 ELABORAR LOS ARTEFACTOS DE DISEÑO DEL SOFTWARE SIGUIENDO LAS PRÁCTICAS DE LA
METODOLOGÍA SELECCIONADA.</t>
  </si>
  <si>
    <t>2- DISEÑO</t>
  </si>
  <si>
    <t>02 ESTRUCTURAR EL MODELO DE DATOS DEL SOFTWARE DE ACUERDO CON LAS ESPECIFICACIONES DEL
ANÁLISIS.</t>
  </si>
  <si>
    <t>4º Trim</t>
  </si>
  <si>
    <t>03 DETERMINAR LAS CARACTERÍSTICAS TÉCNICAS DE LA INTERFAZ GRÁFICA DEL SOFTWARE ADOPTANDO
ESTÁNDARES.</t>
  </si>
  <si>
    <t>5º Trim</t>
  </si>
  <si>
    <t>04 VERIFICAR LOS ENTREGABLES DE LA FASE DE DISEÑO DEL SOFTWARE DE ACUERDO CON LO
ESTABLECIDO EN EL INFORME DE ANÁLISIS.</t>
  </si>
  <si>
    <t>ELABORACIÓN DE LA PROPUESTA TÉCNICA DEL SOFTWARE</t>
  </si>
  <si>
    <t>01 DEFINIR ESPECIFICACIONES TÉCNICAS DEL SOFTWARE DE ACUERDO CON LAS CARACTERÍSTICAS DEL
SOFTWARE A CONSTRUIR.</t>
  </si>
  <si>
    <t>02 ELABORAR PROPUESTA TÉCNICA DEL SOFTWARE DE ACUERDO CON LAS ESPECIFICACIONES TÉCNICAS
DEFINIDAS.</t>
  </si>
  <si>
    <t>03 VALIDAR LAS CONDICIONES DE LA PROPUESTA TÉCNICA DEL SOFTWARE DE ACUERDO CON LOS
INTERESES DE LAS PARTES.</t>
  </si>
  <si>
    <t>CONSTRUCCIÓN DEL SOFTWARE</t>
  </si>
  <si>
    <t>7º Trim</t>
  </si>
  <si>
    <t>01 PLANEAR ACTIVIDADES DE CONSTRUCCIÓN DEL SOFTWARE DE ACUERDO CON EL DISEÑO ESTABLECIDO.</t>
  </si>
  <si>
    <t>3- IMPLEMENTACIÓN</t>
  </si>
  <si>
    <t>02 CONSTRUIR LA BASE DE DATOS PARA EL SOFTWARE A PARTIR DEL MODELO DE DATOS.</t>
  </si>
  <si>
    <t>03 CREAR COMPONENTES FRONT-END DEL SOFTWARE DE ACUERDO CON EL DISEÑO.</t>
  </si>
  <si>
    <t>04 CODIFICAR EL SOFTWARE DE ACUERDO CON EL DISEÑO ESTABLECIDO.</t>
  </si>
  <si>
    <t>6º Trim</t>
  </si>
  <si>
    <t>05 REALIZAR PRUEBAS AL SOFTWARE PARA VERIFICAR SU FUNCIONALIDAD.</t>
  </si>
  <si>
    <t>ADOPCIÓN DE BUENAS PRÁCTICAS EN EL PROCESO DE DESARROLLO DE SOFTWARE</t>
  </si>
  <si>
    <t>01 INCORPORAR ACTIVIDADES DE ASEGURAMIENTO DE LA CALIDAD DEL SOFTWARE DE ACUERDO CON
ESTÁNDARES DE LA INDUSTRIA.</t>
  </si>
  <si>
    <t>02 VERIFICAR LA CALIDAD DEL SOFTWARE DE ACUERDO CON LAS PRÁCTICAS ASOCIADAS EN LOS
PROCESOS DE DESARROLLO.</t>
  </si>
  <si>
    <t>03 REALIZAR ACTIVIDADES DE MEJORA DE LA CALIDAD DEL SOFTWARE A PARTIR DE LOS RESULTADOS DE LA
VERIFICACIÓN.</t>
  </si>
  <si>
    <t>IMPLANTACIÓN DEL SOFTWARE</t>
  </si>
  <si>
    <t>01 PLANEAR ACTIVIDADES DE IMPLANTACIÓN DEL SOFTWARE DE ACUERDO CON LAS CONDICIONES DEL
SISTEMA.</t>
  </si>
  <si>
    <t>4- PRUEBAS / DESPLIEGUE</t>
  </si>
  <si>
    <t>02 DESPLEGAR EL SOFTWARE DE ACUERDO CON LA ARQUITECTURA Y LAS POLÍTICAS ESTABLECIDAS.</t>
  </si>
  <si>
    <t>03 DOCUMENTAR EL PROCESO DE IMPLANTACIÓN DE SOFTWARE SIGUIENDO ESTÁNDARES DE CALIDAD.</t>
  </si>
  <si>
    <t>04 IMPLANTAR EL SOFTWARE DE ACUERDO CON LOS NIVELES DE SERVICIO ESTABLECIDOS CON EL CLIENTE.</t>
  </si>
  <si>
    <t>TOTALES ÁREA TÉCNICA:</t>
  </si>
  <si>
    <t>INGLÉS Y AREÁ TRANSVERSAL</t>
  </si>
  <si>
    <t>INGLÉS</t>
  </si>
  <si>
    <t>01 COMPRENDER INFORMACIÓN SOBRE SITUACIONES COTIDIANAS Y LABORALES ACTUALES Y FUTURAS A
TRAVÉS DE INTERACCIONES SOCIALES DE FORMA ORAL Y ESCRITA.</t>
  </si>
  <si>
    <t>02 INTERCAMBIAR OPINIONES SOBRE SITUACIONES COTIDIANAS Y LABORALES ACTUALES, PASADAS Y
FUTURAS EN CONTEXTOS SOCIALES ORALES Y ESCRITOS.</t>
  </si>
  <si>
    <t>03 DISCUTIR SOBRE POSIBLES SOLUCIONES A PROBLEMAS DENTRO DE UN RANGO VARIADO DE CONTEXTOS
SOCIALES Y LABORALES.</t>
  </si>
  <si>
    <t>04 IMPLEMENTAR ACCIONES DE MEJORA RELACIONADAS CON EL USO DE EXPRESIONES, ESTRUCTURAS Y
DESEMPEÑO SEGÚN LOS RESULTADOS DE APRENDIZAJE FORMULADOS PARA EL PROGRAMA.</t>
  </si>
  <si>
    <t>05 PRESENTAR UN PROCESO PARA LA REALIZACIÓN DE UNA ACTIVIDAD EN SU QUEHACER LABORAL DE
ACUERDO CON LOS PROCEDIMIENTOS ESTABLECIDOS DESDE SU PROGRAMA DE FORMACIÓN.</t>
  </si>
  <si>
    <t>06 EXPLICAR LAS FUNCIONES DE SU OCUPACIÓN LABORAL USANDO EXPRESIONES DE ACUERDO AL NIVEL
REQUERIDO POR EL PROGRAMA DE FORMACIÓN.</t>
  </si>
  <si>
    <t>INDUCCIÓN</t>
  </si>
  <si>
    <t>01 IDENTIFICAR LA DINÁMICA ORGANIZACIONAL DEL SENA Y EL ROL DE LA FORMACIÓN PROFESIONAL
INTEGRAL DE ACUERDO CON SU PROYECTO DE VIDA Y EL DESARROLLO PROFESIONAL.</t>
  </si>
  <si>
    <t>TIC</t>
  </si>
  <si>
    <t>01 ALISTAR HERRAMIENTAS DE TECNOLOGÍAS DE LA INFORMACIÓN Y LA COMUNICACIÓN (TIC), DE ACUERDO
CON LAS NECESIDADES DE PROCESAMIENTO DE INFORMACIÓN Y COMUNICACIÓN.</t>
  </si>
  <si>
    <t>02 APLICAR FUNCIONALIDADES DE HERRAMIENTAS Y SERVICIOS TIC, DE ACUERDO CON MANUALES DE USO,
PROCEDIMIENTOS ESTABLECIDOS Y BUENAS PRÁCTICAS.</t>
  </si>
  <si>
    <t>03 EVALUAR LOS RESULTADOS, DE ACUERDO CON LOS REQUERIMIENTOS</t>
  </si>
  <si>
    <t>04 OPTIMIZAR LOS RESULTADOS, DE ACUERDO CON LA VERIFICACIÓN.</t>
  </si>
  <si>
    <t>MATEMÁTICAS</t>
  </si>
  <si>
    <t>01 IDENTIFICAR MODELOS MATEMÁTICOS DE ACUERDO CON LOS REQUERIMIENTOS DEL PROBLEMA
PLANTEADO EN CONTEXTOS SOCIALES Y PRODUCTIVO.</t>
  </si>
  <si>
    <t>02 PLANTEAR PROBLEMAS MATEMÁTICOS A PARTIR DE SITUACIONES GENERADAS EN EL CONTEXTO SOCIAL
Y PRODUCTIVO.</t>
  </si>
  <si>
    <t>03 RESOLVER PROBLEMAS MATEMÁTICOS A PARTIR DE SITUACIONES GENERADAS EN EL CONTEXTO SOCIAL
Y PRODUCTIVO.</t>
  </si>
  <si>
    <t>04 PROPONER ACCIONES DE MEJORA FRENTE A LOS RESULTADOS DE LOS PROCEDIMIENTOS MATEMÁTICOS
DE ACUERDO CON EL PROBLEMA PLANTEADO.</t>
  </si>
  <si>
    <t>INVESTIGACIÓN</t>
  </si>
  <si>
    <t>01 ANALIZAR EL CONTEXTO PRODUCTIVO SEGÚN SUS CARACTERÍSTICAS Y NECESIDADES.</t>
  </si>
  <si>
    <t>02 ESTRUCTURAR EL PROYECTO DE ACUERDO A CRITERIOS DE LA INVESTIGACIÓN.</t>
  </si>
  <si>
    <t>03 ARGUMENTAR ASPECTOS TEÓRICOS DEL PROYECTO SEGÚN REFERENTES NACIONALES E</t>
  </si>
  <si>
    <t>04 PROPONER SOLUCIONES A LAS NECESIDADES DEL CONTEXTO SEGÚN RESULTADOS DE LA</t>
  </si>
  <si>
    <t>FÍSICA</t>
  </si>
  <si>
    <t>01 IDENTIFICAR LOS PRINCIPIOS Y LEYES DE LA FÍSICA EN LA SOLUCIÓN DE PROBLEMAS DE ACUERDO AL
CONTEXTO PRODUCTIVO.</t>
  </si>
  <si>
    <t>02 SOLUCIONAR PROBLEMAS ASOCIADOS CON EL SECTOR PRODUCTIVO CON BASE EN LOS PRINCIPIOS Y
LEYES DE LA FÍSICA.</t>
  </si>
  <si>
    <t>03 VERIFICAR LAS TRANSFORMACIONES FÍSICAS DE LA MATERIA UTILIZANDO HERRAMIENTAS</t>
  </si>
  <si>
    <t>04 PROPONER ACCIONES DE MEJORA EN LOS PROCESOS PRODUCTIVOS DE ACUERDO CON LOS PRINCIPIOS
Y LEYES DE LA FÍSICA.</t>
  </si>
  <si>
    <t>COMUNICACIÓN</t>
  </si>
  <si>
    <t>01 ANALIZAR LOS COMPONENTES DE LA COMUNICACIÓN SEGÚN SUS CARACTERÍSTICAS, INTENCIONALIDAD Y CONTEXTO.</t>
  </si>
  <si>
    <t>02 ARGUMENTAR EN FORMA ORAL Y ESCRITA ATENDIENDO LAS EXIGENCIAS Y PARTICULARIDADES DE LAS DIVERSAS SITUACIONES COMUNICATIVAS MEDIANTE LOS DISTINTOS SISTEMAS DE REPRESENTACIÓN.</t>
  </si>
  <si>
    <t>03 RELACIONAR LOS PROCESOS COMUNICATIVOS TENIENDO EN CUENTA CRITERIOS DE LÓGICA Y
RACIONALIDAD.</t>
  </si>
  <si>
    <t>04 ESTABLECER PROCESOS DE ENRIQUECIMIENTO LEXICAL Y ACCIONES DE MEJORAMIENTO EN EL
DESARROLLO DE PROCESOS COMUNICATIVOS SEGÚN REQUERIMIENTOS DEL CONTEXTO.</t>
  </si>
  <si>
    <t>ETICA PARA LA CONSTRUCCIÓN DE UNA CULTURA DE PAZ</t>
  </si>
  <si>
    <t>01 PROMOVER MI DIGNIDAD Y LA DEL OTRO A PARTIR DE LOS PRINCIPIOS Y VALORES ÉTICOS COMO APORTE EN LA INSTAURACIÓN DE UNA CULTURA DE PAZ.</t>
  </si>
  <si>
    <t>02 ESTABLECER RELACIONES DE CRECIMIENTO PERSONAL Y COMUNITARIO A PARTIR DEL BIEN COMÚN COMO APORTE PARA EL DESARROLLO SOCIAL.</t>
  </si>
  <si>
    <t>03 PROMOVER EL USO RACIONAL DE LOS RECURSOS NATURALES A PARTIR DE CRITERIOS DE SOSTENIBILIDAD Y SUSTENTABILIDAD ÉTICA Y NORMATIVA VIGENTE.</t>
  </si>
  <si>
    <t>04 CONTRIBUIR CON EL FORTALECIMIENTO DE LA CULTURA DE PAZ A PARTIR DE LA DIGNIDAD HUMANA Y LAS ESTRATEGIAS PARA LA TRANSFORMACIÓN DE CONFLICTOS.</t>
  </si>
  <si>
    <t xml:space="preserve">PROTECCIÓN PARA LA SALUD Y EL MEDIO AMBIENTE.
</t>
  </si>
  <si>
    <t>01 ANALIZAR LAS ESTRATEGIAS PARA LA PREVENCIÓN Y CONTROL DE LOS IMPACTOS AMBIENTALES Y DE</t>
  </si>
  <si>
    <t>02 IMPLEMENTAR ESTRATEGIAS PARA EL CONTROL DE LOS IMPACTOS AMBIENTALES Y DE LOS ACCIDENTES Y ENFERMEDADES DE ACUERDO CON LOS PLANES Y PROGRAMAS ESTABLECIDOS POR LA ORGANIZACIÓN</t>
  </si>
  <si>
    <t>03 REALIZAR SEGUIMIENTO Y ACOMPAÑAMIENTO AL DESARROLLO DE LOS PLANES Y PROGRAMAS AMBIENTALES Y SST, SEGÚN EL ÁREA DE DESEMPEÑO.</t>
  </si>
  <si>
    <t>04 PROPONER ACCIONES DE MEJORA PARA EL MANEJO AMBIENTAL Y EL CONTROL DE LA SST</t>
  </si>
  <si>
    <t>ACTIVIDAD FÍSICA Y HÁBITOS DE VIDA SALUDABLE</t>
  </si>
  <si>
    <t>01 DESARROLLAR HABILIDADES PSICOMOTRICES EN EL CONTEXTO PRODUCTIVO Y SOCIAL.</t>
  </si>
  <si>
    <t>02 PRACTICAR HÁBITOS SALUDABLES MEDIANTE LA APLICACIÓN DE FUNDAMENTOS DE NUTRICIÓN E</t>
  </si>
  <si>
    <t>03 EJECUTAR ACTIVIDADES DE ACONDICIONAMIENTO FÍSICO ORIENTADAS HACIA EL MEJORAMIENTO DE LA CONDICIÓN FÍSICA EN LOS CONTEXTOS PRODUCTIVO Y SOCIAL.</t>
  </si>
  <si>
    <t>04 IMPLEMENTAR UN PLAN DE ERGONOMÍA Y PAUSAS ACTIVAS SEGÚN LAS CARACTERÍSTICAS DE LA FUNCIÓN PRODUCTIVA</t>
  </si>
  <si>
    <t>CULTURA EMPRENDEDORA Y EMPRESARIAL.</t>
  </si>
  <si>
    <t>01 INTEGRAR ELEMENTOS DE LA CULTURA EMPRENDEDORA TENIENDO EN CUENTA EL PERFIL PERSONAL Y EL CONTEXTO DE DESARROLLO SOCIAL.</t>
  </si>
  <si>
    <t>02 CARACTERIZAR LA IDEA DE NEGOCIO TENIENDO EN CUENTA LAS OPORTUNIDADES Y NECESIDADES DEL SECTOR PRODUCTIVO Y SOCIAL.</t>
  </si>
  <si>
    <t>03 ESTRUCTURAR EL PLAN DE NEGOCIO DE ACUERDO CON LAS CARACTERÍSTICAS EMPRESARIALES Y TENDENCIAS DE MERCADO.</t>
  </si>
  <si>
    <t>04 VALORAR LA PROPUESTA DE NEGOCIO CONFORME CON SU ESTRUCTURA Y NECESIDADES DEL SECTOR PRODUCTIVO Y SOCIAL</t>
  </si>
  <si>
    <t>EJERCER DERECHOS FUNDAMENTALES DEL TRABAJO EN EL MARCO DE LA CONSTITUCIÓN POLÍTICA Y LOS CONVENIOS INTERNACIONALES</t>
  </si>
  <si>
    <t>01- Reconocer el trabajo como factor de movilidad social y transformación vital con referencia a la fenomenología y a los derechos fundamentales en el trabajo.</t>
  </si>
  <si>
    <t>02- Valorar la importancia de la ciudadanía laboral con base en el estudio de los derechos humanos y fundamentales en el trabajo.</t>
  </si>
  <si>
    <t>03- Practicar los derechos fundamentales en el trabajo de acuerdo con la Constitución Política y los Convenios Internacionales.</t>
  </si>
  <si>
    <t>04- Participar en acciones solidarias teniendo en cuenta el ejercicio de los derechos humanos, de los pueblos y de la naturaleza.</t>
  </si>
  <si>
    <t>TOTALES ÁREA INGLÉS Y TRANSVERSAL:</t>
  </si>
  <si>
    <t>RESULTADOS DE APRENDIZAJE ETAPA PRACTICA</t>
  </si>
  <si>
    <t>APLICAR EN LA RESOLUCIÓN DE PROBLEMAS REALES DEL SECTOR PRODUCTIVO, LOS CONOCIMIENTOS,
HABILIDADES Y DESTREZAS PERTINENTES A LAS COMPETENCIAS DEL PROGRAMA DE FORMACIÓN
ASUMIENDO ESTRATEGIAS Y METODOLOGÍAS DE AUTOGESTIÓN</t>
  </si>
  <si>
    <t>TOTAL ETAPA PRÁCTICA</t>
  </si>
  <si>
    <t>TOTALES ÁREA TÉCNICA- INGLES - TRANSVERSALES</t>
  </si>
  <si>
    <t>1º Trimestre</t>
  </si>
  <si>
    <t>2º Trimestre</t>
  </si>
  <si>
    <t>C96-R01-Herramientas Dev</t>
  </si>
  <si>
    <r>
      <rPr>
        <b/>
        <sz val="10"/>
        <color rgb="FF0C343D"/>
        <rFont val="Roboto"/>
      </rPr>
      <t xml:space="preserve">Editores de Texto: </t>
    </r>
    <r>
      <rPr>
        <sz val="10"/>
        <color rgb="FF0C343D"/>
        <rFont val="Roboto"/>
      </rPr>
      <t>Visual Studio Code,</t>
    </r>
    <r>
      <rPr>
        <b/>
        <sz val="10"/>
        <color rgb="FF0C343D"/>
        <rFont val="Roboto"/>
      </rPr>
      <t xml:space="preserve"> Emmet:</t>
    </r>
    <r>
      <rPr>
        <sz val="10"/>
        <color rgb="FF0C343D"/>
        <rFont val="Roboto"/>
      </rPr>
      <t xml:space="preserve"> Flujo de Trabajo,</t>
    </r>
    <r>
      <rPr>
        <b/>
        <sz val="10"/>
        <color rgb="FF0C343D"/>
        <rFont val="Roboto"/>
      </rPr>
      <t xml:space="preserve"> HTML: </t>
    </r>
    <r>
      <rPr>
        <sz val="10"/>
        <color rgb="FF0C343D"/>
        <rFont val="Roboto"/>
      </rPr>
      <t>Lenguaje de etiquetas (4.01/5.0),</t>
    </r>
    <r>
      <rPr>
        <b/>
        <sz val="10"/>
        <color rgb="FF0C343D"/>
        <rFont val="Roboto"/>
      </rPr>
      <t xml:space="preserve"> Git:</t>
    </r>
    <r>
      <rPr>
        <sz val="10"/>
        <color rgb="FF0C343D"/>
        <rFont val="Roboto"/>
      </rPr>
      <t xml:space="preserve"> Sistema control del versiones</t>
    </r>
  </si>
  <si>
    <t>C96-R03-FronEnd</t>
  </si>
  <si>
    <r>
      <rPr>
        <b/>
        <sz val="10"/>
        <color rgb="FF0C343D"/>
        <rFont val="Roboto"/>
      </rPr>
      <t xml:space="preserve">CSS: </t>
    </r>
    <r>
      <rPr>
        <sz val="10"/>
        <color rgb="FF0C343D"/>
        <rFont val="Roboto"/>
      </rPr>
      <t>Hojas de Estilo (2.1 / 3.0),</t>
    </r>
    <r>
      <rPr>
        <b/>
        <sz val="10"/>
        <color rgb="FF0C343D"/>
        <rFont val="Roboto"/>
      </rPr>
      <t xml:space="preserve"> PUG:</t>
    </r>
    <r>
      <rPr>
        <sz val="10"/>
        <color rgb="FF0C343D"/>
        <rFont val="Roboto"/>
      </rPr>
      <t xml:space="preserve"> Preprocesador HTML,</t>
    </r>
    <r>
      <rPr>
        <b/>
        <sz val="10"/>
        <color rgb="FF0C343D"/>
        <rFont val="Roboto"/>
      </rPr>
      <t xml:space="preserve"> SASS:</t>
    </r>
    <r>
      <rPr>
        <sz val="10"/>
        <color rgb="FF0C343D"/>
        <rFont val="Roboto"/>
      </rPr>
      <t xml:space="preserve"> Preprocesador CSS, </t>
    </r>
    <r>
      <rPr>
        <b/>
        <sz val="10"/>
        <color rgb="FF0C343D"/>
        <rFont val="Roboto"/>
      </rPr>
      <t>Figma:</t>
    </r>
    <r>
      <rPr>
        <sz val="10"/>
        <color rgb="FF0C343D"/>
        <rFont val="Roboto"/>
      </rPr>
      <t xml:space="preserve"> Gráficos (Mapa de Bits / Vectoriales)</t>
    </r>
  </si>
  <si>
    <t>C93-R03-Algorítmia</t>
  </si>
  <si>
    <t>Algoritmia(Lógica: solución de problemas)</t>
  </si>
  <si>
    <t>C93-R01-Metodología</t>
  </si>
  <si>
    <t>Metodología ágil</t>
  </si>
  <si>
    <t>C92-Requerimientos</t>
  </si>
  <si>
    <t>Requerimientos (Funcionales y no funcionales)</t>
  </si>
  <si>
    <t>C93-R02-UML_01</t>
  </si>
  <si>
    <t xml:space="preserve"> Diagramas Estructurales</t>
  </si>
  <si>
    <t>C96-R04-Codificar</t>
  </si>
  <si>
    <t>Javascript: Vanilla</t>
  </si>
  <si>
    <t>C-Ingles-R01</t>
  </si>
  <si>
    <t>Reading-Writing</t>
  </si>
  <si>
    <t>C-Matemáticas</t>
  </si>
  <si>
    <t>Lógica matemática</t>
  </si>
  <si>
    <t>C-Ingles-R06</t>
  </si>
  <si>
    <t>C-TIC</t>
  </si>
  <si>
    <t>Teoría general de sistemas</t>
  </si>
  <si>
    <t>C-Investigación</t>
  </si>
  <si>
    <t>Recolección de información y técnicas</t>
  </si>
  <si>
    <t>C-Inducción</t>
  </si>
  <si>
    <t>Gestión Tecnológica</t>
  </si>
  <si>
    <t>C-Física</t>
  </si>
  <si>
    <t>Conceptos básicos</t>
  </si>
  <si>
    <t>3º Trimestre</t>
  </si>
  <si>
    <t>4º Trimestre</t>
  </si>
  <si>
    <t>TypeScript</t>
  </si>
  <si>
    <t>TypeScript Preprocesador de Javascript</t>
  </si>
  <si>
    <t>C-95-R03- Vue JS / React / Svelte</t>
  </si>
  <si>
    <t>Vue JS / React / Svelte Framework Javascript</t>
  </si>
  <si>
    <t>C-95-R01-jQuery</t>
  </si>
  <si>
    <t>jQuery Libreria Javascript</t>
  </si>
  <si>
    <t>C-94-R02-Electron JS</t>
  </si>
  <si>
    <t>Electron JS Contrucción Apps de escritorio</t>
  </si>
  <si>
    <t>C-95-R02-Bootstrap</t>
  </si>
  <si>
    <t>Bootstrap Framework CSS</t>
  </si>
  <si>
    <t>C-96-R02-Flask</t>
  </si>
  <si>
    <t>Flask Framework Python</t>
  </si>
  <si>
    <t>C-94-R01-Tailwind</t>
  </si>
  <si>
    <t>Tailwind Framework CSS</t>
  </si>
  <si>
    <t>C-96-R04-C #</t>
  </si>
  <si>
    <t>C # Aplicaciones Stand Alone</t>
  </si>
  <si>
    <t>AMP</t>
  </si>
  <si>
    <t xml:space="preserve"> AMP(Apache, MariaDB, PHP)</t>
  </si>
  <si>
    <t>C-98-R01-PHP (POO)</t>
  </si>
  <si>
    <t>PHP (POO) Programación orientada a objetos</t>
  </si>
  <si>
    <t>PHP (Básico/Intermedio)</t>
  </si>
  <si>
    <t>PHP (Básico/Intermedio) Lenguaje de programación (Server-Side)</t>
  </si>
  <si>
    <t>PHP (MVC)</t>
  </si>
  <si>
    <t>PHP (MVC) Modelo de 3 Capas</t>
  </si>
  <si>
    <t>Python</t>
  </si>
  <si>
    <t>Python Lenguaje de programación</t>
  </si>
  <si>
    <t>PHP (PDO) MySQL/Maria DB</t>
  </si>
  <si>
    <t>PHP (PDO) MySQL/Maria DB Gestor de base de datos relacionales</t>
  </si>
  <si>
    <t>SQL (Bases de Datos)</t>
  </si>
  <si>
    <t>SQL (Bases de Datos) Lenguaje de consultas</t>
  </si>
  <si>
    <t>Netlify/Vercel</t>
  </si>
  <si>
    <t>Netlify/Vercel Despliegue de Apps</t>
  </si>
  <si>
    <t>MarkDown</t>
  </si>
  <si>
    <t>C93-R04-UML_02</t>
  </si>
  <si>
    <t>Lenguaje unificado de modelado</t>
  </si>
  <si>
    <t>C-Ingles-R02</t>
  </si>
  <si>
    <t>C-Ingles-R04</t>
  </si>
  <si>
    <t>Comunicación</t>
  </si>
  <si>
    <t>Protección para la salud y el medio ambiente</t>
  </si>
  <si>
    <t>Ética</t>
  </si>
  <si>
    <t>Actividad física</t>
  </si>
  <si>
    <t>5º Trimestre</t>
  </si>
  <si>
    <t>6º Trimestre</t>
  </si>
  <si>
    <t>C-95-R04-Laravel</t>
  </si>
  <si>
    <t>Framework PHP</t>
  </si>
  <si>
    <t>C-96-R01-Flutter/Ionic</t>
  </si>
  <si>
    <t>Desarrollo móviles</t>
  </si>
  <si>
    <t>C-94-R03-Django</t>
  </si>
  <si>
    <t>Framework Python</t>
  </si>
  <si>
    <t>C-96-R02-Heroku</t>
  </si>
  <si>
    <t>Plataforma como un servicio</t>
  </si>
  <si>
    <t>C-96-R02-API Rest</t>
  </si>
  <si>
    <t>Creación y consumo de servicios</t>
  </si>
  <si>
    <t>C-96-R03-Mongo DB / Redis</t>
  </si>
  <si>
    <t>Base de datos no relacional</t>
  </si>
  <si>
    <t>C-96-R05-Wordpress</t>
  </si>
  <si>
    <t>CMS - Gestor de contenidos</t>
  </si>
  <si>
    <t>C-96-R04-Kotlin</t>
  </si>
  <si>
    <t>Desarollo android</t>
  </si>
  <si>
    <t>C-98-R02</t>
  </si>
  <si>
    <t>C-96-R05</t>
  </si>
  <si>
    <t>C-98-R03</t>
  </si>
  <si>
    <t>C-97-R03</t>
  </si>
  <si>
    <t>C-97-R04</t>
  </si>
  <si>
    <t>C-Ingles-R05</t>
  </si>
  <si>
    <t>Cultura emprendedora</t>
  </si>
  <si>
    <t>Ejercer derechos fundamentales</t>
  </si>
  <si>
    <t>7º Trimestre</t>
  </si>
  <si>
    <t>C-96-R01-Proyecto formativo</t>
  </si>
  <si>
    <t>Desarrollo y entrega de producto</t>
  </si>
  <si>
    <t>C-96-R02-TESTING</t>
  </si>
  <si>
    <t>Pruebas unitarias (carga, estrés e integración)</t>
  </si>
  <si>
    <t>C-96-R03</t>
  </si>
  <si>
    <t>C-96-R04</t>
  </si>
  <si>
    <t>C-97-R01</t>
  </si>
  <si>
    <t>C-97-R02</t>
  </si>
  <si>
    <t>C-Ingles-R03</t>
  </si>
  <si>
    <t>Saber</t>
  </si>
  <si>
    <t>Adopción</t>
  </si>
  <si>
    <t>* FUNDAMENTOS DE CALIDAD: CONCEPTOS, GESTIÓN DE PROCESOS,
* ESTÁNDARES DE CALIDAD PARA EL DESARROLLO DE SOFTWARE: CONJUNTO DE NORMAS ISO/IEC 25000 SQUARE, ISO/IEC 15504, IEEE.
* MODELOS DE CALIDAD DE SOFTWARE: CMMI
* METODOLOGÍAS DE DESARROLLO: ÁGILES, TRADICIONALES
* DISCIPLINAS DE CALIDAD DE SOFTWARE: PSP FUNDAMENTALS, TSP
* ADMINISTRACIÓN DEL PROCESO PERSONAL DE CONSTRUCCIÓN DE SOFTWARE: FUNDAMENTOS, PRINCIPIOS, NIVELES, SCRIPTS, FORMAS, ESTÁNDARES, DOCUMENTACIÓN, MÉTODO PROBE, ESTADÍSTICAS, HERRAMIENTAS INFORMÁTICAS DE APOYO.
* DOCUMENTACIÓN: FORMATOS, PLANTILLAS, ESTÁNDARES DE DOCUMENTACIÓN DE PROCESOS DE CALIDAD.</t>
  </si>
  <si>
    <t>Construcción</t>
  </si>
  <si>
    <r>
      <rPr>
        <b/>
        <sz val="8"/>
        <color rgb="FF0C343D"/>
        <rFont val="Roboto"/>
      </rPr>
      <t>PLANEAR ACTIVIDADES DE CONSTRUCCIÓN DEL SOFTWARE DE ACUERDO CON EL DISEÑO ESTABLECIDO:</t>
    </r>
    <r>
      <rPr>
        <sz val="8"/>
        <color rgb="FF0C343D"/>
        <rFont val="Roboto"/>
      </rPr>
      <t xml:space="preserve">
* INFORME DE DISEÑO: INTERPRETACIÓN, ANÁLISIS.
* HERRAMIENTAS DE APOYO: VERSIONAMIENTO, CONTROL DE CAMBIOS DEL CÓDIGO, INTEGRACIÓN CONTINUA.
* ESTÁNDARES DE CODIFICACIÓN: PLANTILLA DE ESTÁNDAR DE CÓDIGO, (DOCUMENTACIÓN DE CÓDIGO, REGLAS DE NOMBRADO PARA VARIABLES, MÉTODOS, ATRIBUTOS, CLASES, TABLAS, CAMPOS, INDENTACIÓN).
</t>
    </r>
    <r>
      <rPr>
        <b/>
        <sz val="8"/>
        <color rgb="FF0C343D"/>
        <rFont val="Roboto"/>
      </rPr>
      <t xml:space="preserve">CONSTRUIR LA BASE DE DATOS PARA EL SOFTWARE A PARTIR DEL MODELO DE DATOS: 
</t>
    </r>
    <r>
      <rPr>
        <sz val="8"/>
        <color rgb="FF0C343D"/>
        <rFont val="Roboto"/>
      </rPr>
      <t xml:space="preserve">* MOTORES DE BASES DE DATOS RELACIONALES (ORACLE, SQL SERVER, POSTGRESQL, MYSQL, MARIADB, SQLITE): CONCEPTOS DE SISTEMA MANEJADOR DE BASES DE DATOS - SMBD, LICENCIAMIENTO, INSTALACIÓN, INSTANCIAS, CONFIGURACIÓN, SISTEMA DE ARCHIVOS, OBJETOS DE LA BD (TABLAS, RELACIONES, ÍNDICES, VISTAS, PROCEDIMIENTOS ALMACENADOS, RESTRICCIONES), SEGURIDAD DE LA INFORMACIÓN, PERMISOS, COPIAS DE SEGURIDAD, RESTAURACIÓN DE LA BD.
* NOSQL: (REDIS, MONGODB): CONCEPTOS, INSTALACIÓN, CONSULTAS, DOCUMENTOS, COLECCIONES, OBJETOS.
* SQL: SENTENCIAS DDL (CREATE, ALTER, DROP, TRUNCATE), DML (SELECT, INSERT, UPDATE, DELETE, MERGE), DCL (REVOKE, GRANT), CONTROL DE TRANSACCIONES (COMMIT, ROLLBACK), PROGRAMACIÓN EN SQL (CURSORES, PROCEDIMIENTOS, FUNCIONES, TRIGGERS). 
</t>
    </r>
    <r>
      <rPr>
        <b/>
        <sz val="8"/>
        <color rgb="FF0C343D"/>
        <rFont val="Roboto"/>
      </rPr>
      <t>CREAR COMPONENTES FRONT-END DEL SOFTWARE DE ACUERDO CON EL DISEÑO:</t>
    </r>
    <r>
      <rPr>
        <sz val="8"/>
        <color rgb="FF0C343D"/>
        <rFont val="Roboto"/>
      </rPr>
      <t xml:space="preserve">
* INTERFAZ GRÁFICA EN APLICACIONES DE ESCRITORIO: FORMULARIOS, OBJETOS DE UN FORMULARIO, CUADROS DE DIALOGO, MENÚS, BARRAS DE HERRAMIENTAS.
* INTERFAZ GRÁFICA EN APLICACIONES WEB: CONCEPTO, MANEJO DE ETIQUETAS, FORMULARIOS, COMPONENTES DEL FORMULARIO, DISTRIBUCIÓN, W3C, VALIDADOR W3C, FRAMEWORK FRONT-END (BOOTSTRAP).
* HOJAS DE ESTILO: CONCEPTOS, SINTAXIS, USOS.
* JAVASCRIPT: SINTAXIS, LIBRERÍAS(JQUERY, MODERNIZR), FRAMEWORKS (ANGULARJS, PROTOTYPE, MOOTOOLS).
* GESTORES DE CONTENIDOS: CONCEPTOS, TIPOS, USO (WORDPRESS, JOOMLA).
* INTERFAZ GRÁFICA EN APLICACIONES MÓVILES: DISPOSITIVOS, PLATAFORMAS, ORGANIZACIÓN DE CONTENIDOS, VISTAS, FRAMEWORKS PARA DESARROLLO MÓVIL.
</t>
    </r>
    <r>
      <rPr>
        <b/>
        <sz val="8"/>
        <color rgb="FF0C343D"/>
        <rFont val="Roboto"/>
      </rPr>
      <t>CODIFICAR EL SOFTWARE DE ACUERDO CON EL DISEÑO ESTABLECIDO:</t>
    </r>
    <r>
      <rPr>
        <sz val="8"/>
        <color rgb="FF0C343D"/>
        <rFont val="Roboto"/>
      </rPr>
      <t xml:space="preserve">
* LENGUAJE DE PROGRAMACIÓN ORIENTADO A OBJETOS: C#, JAVA (SE, EE), PHP, PYTHON, RUBY. CONCEPTOS ASOCIADOS AL LENGUAJE, ANTECEDENTES, IDE, SINTAXIS, ESTRUCTURA GENERAL DEL LENGUAJE (ESTÁNDAR DE CÓDIGO), APLICACIONES, CLIENTES PERSONALIZADOS PARA CONEXIÓN A LAS BASES DE DATOS (CADENAS DE CONEXIÓN), GENERACIÓN DE REPORTES.
* EDITORES DE CÓDIGO: CARACTERÍSTICAS, INSTALACIÓN, USO (VISUAL STUDIO CODE, SUBLIME TEXT, ATOM, BRACKETS, NOTEPAD ++).
* ENTORNOS DE DESARROLLO / FRAMEWORKS: CARACTERÍSTICAS, INSTALACIÓN, USO (NETBEANS, VISUAL STUDIO .NET, ECLIPSE, ANACONDA, LARAVEL, RUBY ON RAILS, DJANGO, VAADIN).
* SEGURIDAD: SQL INJECTION, ALGORITMOS DE ENCRIPTACIÓN, FIRMAS DIGITALES, MANEJO DE SESIONES.
* SERVIDORES DE APLICACIONES / SERVIDORES WEB: DEFINICIONES, TIPOS, USOS (GLASSFISH, APACHE, IIS, NODE.JS)
* SERVICIOS WEB: CONCEPTO, TIPOS (SOAP, RESTFUL), FORMATO INTERCAMBIO DE DATOS (JSON, XML).
* CLOUD COMPUTING: CONCEPTO, DESARROLLO EN LA NUBE (PLATAFORMAS AZURE, AWS, HEROKU, EDITORES CLOUD9, FUNCIÓN COMO SERVICIO FAAS AWS LAMBDA).
* CREACIÓN DE APP: CONCEPTO, PLATAFORMAS NATIVAS (ANDROID, IOS), SQLITE, LIBRERÍAS DE TERCEROS.
* ENTORNOS DE DESARROLLO MÓVIL: CONCEPTO, PLATAFORMAS (KOTLIN, SWIFT, IONIC)
* INTERNET DE LAS COSAS: INTRODUCCIÓN, APLICACIONES, DESARROLLOS.
* BLOCKCHAIN: INTRODUCCIÓN, APLICACIONES, DESARROLLOS.
* MACHINE LEARNING: CONCEPTOS, APLICACIONES, DEEP LEARNING.
* CONTROL DE VERSIONES: HERRAMIENTAS PARA CONTROL DE CAMBIOS EN EL CÓDIGO (GIT, GITHUB, APACHE SUBVERSION). REALIZAR PRUEBAS AL SOFTWARE PARA VERIFICAR SU FUNCIONALIDAD:
* PRUEBAS: CONCEPTOS, NIVELES, TIPOS, ENFOQUES, PLAN DE PRUEBAS, DISEÑO DE CASOS DE PRUEBA, HERRAMIENTAS TECNOLÓGICAS PARA PRUEBAS, DOCUMENTACIÓN DE PRUEBAS (UNITARIAS, CARGA, ESTRÉS, INTEGRACIÓN).
* DESARROLLO GUIADO POR PRUEBAS (TDD): METODOLOGÍAS ÁGILES, CODIFICACIÓN Y PRUEBAS.</t>
    </r>
  </si>
  <si>
    <t>Modelado</t>
  </si>
  <si>
    <r>
      <rPr>
        <b/>
        <sz val="8"/>
        <color rgb="FF0C343D"/>
        <rFont val="Roboto"/>
      </rPr>
      <t>ELABORAR LOS ARTEFACTOS DE DISEÑO DEL SOFTWARE SIGUIENDO LAS PRÁCTICAS DE LA METODOLOGÍA SELECCIONADA:</t>
    </r>
    <r>
      <rPr>
        <sz val="8"/>
        <color rgb="FF0C343D"/>
        <rFont val="Roboto"/>
      </rPr>
      <t xml:space="preserve">
* INFORME DE ANÁLISIS: INTERPRETACIÓN, ANÁLISIS Y TOMA DE DECISIONES.
* DISEÑO ORIENTADO A OBJETOS: CONCEPTOS (COHESIÓN, ACOPLAMIENTO, ENCAPSULAMIENTO, POLIMORFISMO, COMPOSICIÓN, HERENCIA, INTERFACES), PRINCIPIOS (ADAPTABILIDAD, EXTENSIBILIDAD, MANTENIBILIDAD, REUSABILIDAD, DESEMPEÑO, ESCALABILIDAD, CONFIABILIDAD, EFICIENCIA).
* PLATAFORMAS TECNOLÓGICAS: MOTORES DE BASES DE DATOS RELACIONALES, NO RELACIONALES, LENGUAJES DE PROGRAMACIÓN CON ORIENTACIÓN A OBJETOS.
* DIAGRAMA DE CLASES: ATRIBUTOS, MÉTODOS, RELACIONES.
* PATRONES DE DISEÑO (GOF): CONCEPTOS, COMPORTAMENTALES (ESTRATEGIA, COMANDO, ITERADOR), CREACIONALES (SINGLETON, FÁBRICA ABSTRACTA), ESTRUCTURALES (FACHADA).
* ARQUITECTURA DE SOFTWARE: GENERALIDADES, CONCEPTOS, TIPOS DE ARQUITECTURAS, COMPONENTES, VISTAS Y MODELOS RELACIONADOS, CUALIDADES SISTÉMICAS. 
* ARQUITECTURA ORIENTADA A SERVICIOS (SOA, REST, GRAPHQL): CONCEPTOS, APLICACIONES.
* ARQUITECTURAS MICROSERVICES Y SERVERLESS: CONCEPTOS, APLICACIONES.
* DEVOPS, INTEGRACIÓN CONTINUA: CONCEPTOS, APLICACIONES.
* ARQUITECTURA CLIENTE / SERVIDOR: CONCEPTO, 2 CAPAS, 3 CAPAS, N CAPAS, APLICACIONES DISTRIBUIDAS, CLIENTES MÓVILES, CONCEPTOS ARQUITECTURA REST.
* MODELO VISTA CONTROLADOR: CONCEPTO, APLICACIÓN
* VISTA DE COMPONENTES: DIAGRAMA DE COMPONENTES.
* VISTA FÍSICA: DIAGRAMA DE DESPLIEGUE.
* DOCUMENTO DE DISEÑO: MODELOS, ARQUITECTURA CANDIDATA.
</t>
    </r>
    <r>
      <rPr>
        <b/>
        <sz val="8"/>
        <color rgb="FF0C343D"/>
        <rFont val="Roboto"/>
      </rPr>
      <t>ESTRUCTURAR EL MODELO DE DATOS DEL SOFTWARE DE ACUERDO CON LAS ESPECIFICACIONES DEL ANÁLISIS:</t>
    </r>
    <r>
      <rPr>
        <sz val="8"/>
        <color rgb="FF0C343D"/>
        <rFont val="Roboto"/>
      </rPr>
      <t xml:space="preserve">
* MODELO LÓGICO DE DATOS (MODELO RELACIONAL): CONCEPTO, REPRESENTACIÓN, CARDINALIDAD, REGLAS DE TRANSFORMACIÓN DE MODELO CONCEPTUAL A MODELO LÓGICO, RESTRICCIONES, HERRAMIENTAS PARA EL DISEÑO DE BASE DE DATOS.
* BASES DE DATOS: CONCEPTOS, CARACTERÍSTICAS, RELACIONALES, NO RELACIONALES, MOTORES.
* DICCIONARIO DE DATOS: TIPO DE DATOS, TAMAÑO DE LOS DATOS, ESTÁNDARES DE NOMBRADO, RESTRICCIONES Y DOMINIO DE DATOS.
* NORMALIZACIÓN: CONCEPTOS, FORMAS NORMALES, EJEMPLOS.
* SEGURIDAD DE LA INFORMACIÓN: CONCEPTO, POLÍTICAS, ENCRIPTACIÓN DE DATOS, TRATAMIENTO DE DATOS PERSONALES, NIVELES DE ACCESO.
* BIG DATA: CONCEPTOS, APLICACIONES.
</t>
    </r>
    <r>
      <rPr>
        <b/>
        <sz val="8"/>
        <color rgb="FF0C343D"/>
        <rFont val="Roboto"/>
      </rPr>
      <t xml:space="preserve">
DETERMINAR LAS CARACTERÍSTICAS TÉCNICAS DE LA INTERFAZ GRÁFICA DEL SOFTWARE ADOPTANDO ESTÁNDARES:</t>
    </r>
    <r>
      <rPr>
        <sz val="8"/>
        <color rgb="FF0C343D"/>
        <rFont val="Roboto"/>
      </rPr>
      <t xml:space="preserve">
* COMPONENTE GRÁFICO: CONCEPTOS, CARACTERÍSTICAS, TEORÍA DEL COLOR, USABILIDAD, ACCESIBILIDAD, FRAMEWORK FRONT-END, W3C, WEB SEMÁNTICA.
* DISEÑO DE INTERFAZ PARA DISPOSITIVOS MÓVILES: CONCEPTOS, DISPOSITIVOS, CARACTERÍSTICAS, REGLAS DE DISEÑO.
* TIPOS DE PROTOTIPADO: CONCEPTOS, TÉCNICAS (BOCETOS, MAPAS DE NAVEGACIÓN, PROTOTIPOS EN PAPEL, PROTOTIPOS DE SOFTWARE), HERRAMIENTAS DE APOYO, PROTOTIPADO PARA APLICACIONES WEB, STAND-ALONE Y MÓVILES. VERIFICAR LOS ENTREGABLES DE LA FASE DE DISEÑO DEL SOFTWARE DE ACUERDO CON LO ESTABLECIDO
</t>
    </r>
    <r>
      <rPr>
        <b/>
        <sz val="8"/>
        <color rgb="FF0C343D"/>
        <rFont val="Roboto"/>
      </rPr>
      <t>EN EL INFORME DE ANÁLISIS:</t>
    </r>
    <r>
      <rPr>
        <sz val="8"/>
        <color rgb="FF0C343D"/>
        <rFont val="Roboto"/>
      </rPr>
      <t xml:space="preserve">
* TÉCNICAS DE EVALUACIÓN: INSPECCIÓN, REVISIÓN.
* LISTAS DE CHEQUEO: CRITERIOS DE ACEPTACIÓN.
* PRÁCTICAS DE DISEÑO: BAJO ACOPLAMIENTO Y ALTA COHESIÓN.
* INFORME DE DISEÑO: CONCEPTO, CARACTERÍSTICAS, ARTEFACTOS ELABORADOS EN LA FASE DE DISEÑO.</t>
    </r>
  </si>
  <si>
    <t>Especificación</t>
  </si>
  <si>
    <r>
      <rPr>
        <b/>
        <sz val="8"/>
        <color rgb="FF0C343D"/>
        <rFont val="Roboto"/>
      </rPr>
      <t>CARACTERIZAR LOS PROCESOS DE LA ORGANIZACIÓN DE ACUERDO CON EL SOFTWARE A CONSTRUIR:</t>
    </r>
    <r>
      <rPr>
        <sz val="8"/>
        <color rgb="FF0C343D"/>
        <rFont val="Roboto"/>
      </rPr>
      <t xml:space="preserve">
* TEORÍA GENERAL DE SISTEMAS: ORÍGENES, CONCEPTOS.
* ENFOQUE SISTÉMICO: CONCEPTO, CARACTERÍSTICAS, APLICACIÓN, ORGANIZACIONES INTELIGENTES.
* DATOS E INFORMACIÓN: CONCEPTOS DATOS E INFORMACIÓN, PROCESAMIENTO DE DATOS Y ACTIVIDADES DE PROCESAMIENTO DE DATOS.
* SISTEMAS DE INFORMACIÓN: ELEMENTOS, OBJETIVOS, CLASIFICACIÓN.
* CICLO DE VIDA DEL SOFTWARE: DEFINICIÓN, ELEMENTOS, MODELOS, FASES Y SUS OBJETIVOS.
* METODOLOGÍAS DE DESARROLLO: CONCEPTOS, TIPOS.
* PROCESOS: DEFINICIÓN, CARACTERÍSTICAS, ENTRADAS, COMPONENTES, REPRESENTACIÓN GRÁFICA, PROCEDIMIENTOS, MODELO DE PROCESOS DE NEGOCIO (BPM).
</t>
    </r>
    <r>
      <rPr>
        <b/>
        <sz val="8"/>
        <color rgb="FF0C343D"/>
        <rFont val="Roboto"/>
      </rPr>
      <t xml:space="preserve">
RECOLECTAR INFORMACIÓN DEL SOFTWARE A CONSTRUIR DE ACUERDO CON LAS NECESIDADES DEL CLIENTE:</t>
    </r>
    <r>
      <rPr>
        <sz val="8"/>
        <color rgb="FF0C343D"/>
        <rFont val="Roboto"/>
      </rPr>
      <t xml:space="preserve">
* TÉCNICAS DE ELICITACIÓN DE REQUISITOS: TÉCNICAS DE PROSPECCIÓN, TÉCNICAS DE CREATIVIDAD, TÉCNICAS CENTRADAS EN LA DOCUMENTACIÓN, TÉCNICAS DE OBSERVACIÓN.
* REQUISITOS: CONCEPTOS, REQUISITOS FUNCIONALES Y NO FUNCIONALES.
* INGENIERÍA DE REQUISITOS: ANÁLISIS DE REQUISITOS, GESTIÓN DE REQUISITOS, PRÁCTICAS ÁGILES(HISTORIAS DE USUARIOS, ITERACIONES, PRODUCT BACKLOG, ESTIMACIONES, STORYBOARD)".
* ESTADÍSTICA DESCRIPTIVA: DEFINICIÓN, POBLACIÓN, ELEMENTOS Y CARACTERÍSTICAS, VARIABLES CUALITATIVAS Y CUANTITATIVAS, MEDIDAS DE TENDENCIAS CENTRAL (MEDIA, MEDIA GEOMÉTRICA, MEDIANA, MODA), REPRESENTACIÓN GRÁFICA DE LOS DATOS.
* FUENTES DE REQUISITOS: IMPLICADOS, DOCUMENTACIÓN, SISTEMAS EN OPERACIÓN.</t>
    </r>
  </si>
  <si>
    <t>Elaboración</t>
  </si>
  <si>
    <r>
      <rPr>
        <b/>
        <sz val="8"/>
        <color rgb="FF0C343D"/>
        <rFont val="Roboto"/>
      </rPr>
      <t>DEFINIR ESPECIFICACIONES TÉCNICAS DEL SOFTWARE DE ACUERDO CON LAS CARACTERÍSTICAS DEL SOFTWARE A CONSTRUIR:</t>
    </r>
    <r>
      <rPr>
        <sz val="8"/>
        <color rgb="FF0C343D"/>
        <rFont val="Roboto"/>
      </rPr>
      <t xml:space="preserve">
* TECNOLOGÍA INFORMÁTICA: CARACTERÍSTICAS DE HARDWARE Y SOFTWARE, TENDENCIAS DE FABRICACIÓN TI Y MERCADO EN EL ÁMBITO NACIONAL E INTERNACIONAL.
* SOLUCIONES INFORMÁTICAS: DIAGNÓSTICO DE NECESIDADES Y ELABORACIÓN DE REFERENTES TÉCNICOS.
* GESTIÓN TECNOLÓGICA: CONCEPTOS Y CARACTERÍSTICAS, INNOVACIÓN, EMPRENDIMIENTO Y ACTIVIDADES DE LA GESTIÓN TECNOLÓGICA.
* CONTRATACIÓN DE SERVICIOS DE TI: CONCEPTO, TIPOS, PRINCIPIOS Y CARACTERÍSTICAS, NORMATIVIDAD GENERAL DE LA CONTRATACIÓN TANTO PRIVADA COMO ESTATAL.
* PROYECTOS DE TI: TIPOS, CARACTERÍSTICAS, FASES.
* LICENCIAMIENTO DE SOFTWARE: CONCEPTO, TIPOS, CARACTERÍSTICAS, DIFERENCIAS DE CARÁCTER TÉCNICO Y DE CONDICIONES DE CUMPLIMIENTO
* PROPIEDAD INTELECTUAL: DERECHOS DE AUTOR, PROPIEDAD INDUSTRIAL, REGISTRO DE SOFTWARE. 
</t>
    </r>
    <r>
      <rPr>
        <b/>
        <sz val="8"/>
        <color rgb="FF0C343D"/>
        <rFont val="Roboto"/>
      </rPr>
      <t>ELABORAR PROPUESTA TÉCNICA DEL SOFTWARE DE ACUERDO CON LAS ESPECIFICACIONES TÉCNICAS DEFINIDAS:</t>
    </r>
    <r>
      <rPr>
        <sz val="8"/>
        <color rgb="FF0C343D"/>
        <rFont val="Roboto"/>
      </rPr>
      <t xml:space="preserve">
* COSTOS: CONCEPTOS, FUNDAMENTOS, CLASIFICACIÓN.
</t>
    </r>
    <r>
      <rPr>
        <b/>
        <sz val="8"/>
        <color rgb="FF0C343D"/>
        <rFont val="Roboto"/>
      </rPr>
      <t>SOFTWARE.</t>
    </r>
    <r>
      <rPr>
        <sz val="8"/>
        <color rgb="FF0C343D"/>
        <rFont val="Roboto"/>
      </rPr>
      <t xml:space="preserve">
* FICHA TÉCNICA: ELEMENTOS MÍNIMOS PARA DESCRIBIR LOS REFERENTES TÉCNICOS.
* TÉRMINOS DE REFERENCIA: CONCEPTO, ELEMENTOS Y CONSTRUCCIÓN. 
</t>
    </r>
    <r>
      <rPr>
        <b/>
        <sz val="8"/>
        <color rgb="FF0C343D"/>
        <rFont val="Roboto"/>
      </rPr>
      <t>VALIDAR LAS CONDICIONES DE LA PROPUESTA TÉCNICA DEL SOFTWARE DE ACUERDO CON LOS INTERESES DE LAS PARTES:</t>
    </r>
    <r>
      <rPr>
        <sz val="8"/>
        <color rgb="FF0C343D"/>
        <rFont val="Roboto"/>
      </rPr>
      <t xml:space="preserve">
* COMUNICACIÓN: TÉCNICAS, TIPOS Y HABILIDADES.
* NEGOCIACIÓN DE TECNOLOGÍA: ESTILOS DE NEGOCIACIÓN, PRINCIPIOS DE NEGOCIACIÓN, IDENTIFICACIÓN Y SOLUCIÓN DE CONFLICTOS.
* CONTRATO: CONCEPTO, TIPOS, PARTES, NORMATIVIDAD
* ACUERDOS DE NIVELES DE SERVICIO: CONCEPTO, FORMULACIÓN, MÉTRICAS.</t>
    </r>
  </si>
  <si>
    <t>Análisis</t>
  </si>
  <si>
    <r>
      <rPr>
        <b/>
        <sz val="8"/>
        <color rgb="FF0C343D"/>
        <rFont val="Roboto"/>
      </rPr>
      <t>PLANEAR ACTIVIDADES DE ANÁLISIS DE ACUERDO CON LA METODOLOGÍA SELECCIONADA:</t>
    </r>
    <r>
      <rPr>
        <sz val="8"/>
        <color rgb="FF0C343D"/>
        <rFont val="Roboto"/>
      </rPr>
      <t xml:space="preserve">
* METODOLOGÍAS DE DESARROLLO DE SOFTWARE: CONCEPTO, CLASIFICACIÓN, ROLES, EJEMPLOS.
* METODOLOGÍAS TRADICIONALES: PROCESO UNIFICADO RACIONAL (RUP)
* METODOLOGÍAS ÁGILES: SCRUM, PROGRAMACIÓN EXTREMA (XP), DESARROLLO RÁPIDO DE APLICACIONES (RAD).
* PROYECTOS DE SOFTWARE: CARACTERÍSTICAS, TIPOS, COMPONENTES.
* PLANEACIÓN: DEFINIR Y PRIORIZAR ACTIVIDADES DE ANÁLISIS, FIJAR CRONOGRAMAS Y ENTREGABLES. 
</t>
    </r>
    <r>
      <rPr>
        <b/>
        <sz val="8"/>
        <color rgb="FF0C343D"/>
        <rFont val="Roboto"/>
      </rPr>
      <t>MODELAR LAS FUNCIONES DEL SOFTWARE DE ACUERDO CON EL INFORME DE REQUISITOS:</t>
    </r>
    <r>
      <rPr>
        <sz val="8"/>
        <color rgb="FF0C343D"/>
        <rFont val="Roboto"/>
      </rPr>
      <t xml:space="preserve">
* INFORMES DE REQUISITOS: ANÁLISIS, INTERPRETACIÓN Y TOMA DE DECISIONES.
* ANÁLISIS ORIENTADO A OBJETOS: CONCEPTOS DE OBJETO, CLASE, INSTANCIA, MULTIPLICIDAD, ASOCIACIÓN, AGREGACIÓN, COMPOSICIÓN, ACTOR, CASO DE USO, MENSAJES, EXCEPCIONES, CONDICIONES, POST-CONDICIONES, FOCOS DE CONTROL.
* UML: DEFINICIÓN, NOTACIÓN, ELEMENTOS, RELACIONES, DIAGRAMAS, CLASIFICACIÓN.
* DIAGRAMAS UML: CASOS DE USO, ACTIVIDADES, MODELO DE DOMINIO.
* HERRAMIENTAS CASE: DEFINICIÓN, TIPOS, USO.
* MODELO DE DATOS: FUNDAMENTOS DE BASES DE DATOS, MODELO ENTIDAD RELACIÓN.
</t>
    </r>
    <r>
      <rPr>
        <b/>
        <sz val="8"/>
        <color rgb="FF0C343D"/>
        <rFont val="Roboto"/>
      </rPr>
      <t>DESARROLLAR PROCESOS LÓGICOS A TRAVÉS DE LA IMPLEMENTACIÓN DE ALGORITMOS:</t>
    </r>
    <r>
      <rPr>
        <sz val="8"/>
        <color rgb="FF0C343D"/>
        <rFont val="Roboto"/>
      </rPr>
      <t xml:space="preserve">
* LÓGICA MATEMÁTICA: FUNDAMENTOS, LÓGICA PROPOSICIONAL.
* ALGORITMO: CONCEPTO, TIPOS, TÉCNICAS PARA LA FORMULACIÓN DE ALGORITMOS (PSEUDOCÓDIGO, DIAGRAMAS DE FLUJO), ENTIDADES PRIMITIVAS, JERARQUÍA DE OPERADORES, ESTRUCTURAS SECUENCIALES, CONDICIONALES, CÍCLICAS, ARREGLOS, FUNCIONES, PROCEDIMIENTOS, PRUEBA DE ESCRITORIO.
* HERRAMIENTAS PARA CREACIÓN Y PRUEBA DE ALGORITMOS: DFD, LPP O PSEINT, PYTHON. VERIFICAR LOS MODELOS REALIZADOS EN LA FASE DE ANÁLISIS DE ACUERDO CON LO ESTABLECIDO EN EL INFORME DE REQUISITOS:
* INFORME DE ANÁLISIS: ESTRUCTURA, RESULTADOS.
* INSTRUMENTOS DE VERIFICACIÓN: LISTAS DE CHEQUEO.
* TRAZABILIDAD: ARTEFACTOS GENERADOS EN EL ANÁLISIS FRENTE A LOS REQUISITOS.</t>
    </r>
  </si>
  <si>
    <t>Implantación</t>
  </si>
  <si>
    <r>
      <rPr>
        <b/>
        <sz val="8"/>
        <color rgb="FF0C343D"/>
        <rFont val="Roboto"/>
      </rPr>
      <t>PLANEAR ACTIVIDADES DE IMPLANTACIÓN DEL SOFTWARE DE ACUERDO CON LAS CONDICIONES DEL SISTEMA:</t>
    </r>
    <r>
      <rPr>
        <sz val="8"/>
        <color rgb="FF0C343D"/>
        <rFont val="Roboto"/>
      </rPr>
      <t xml:space="preserve">
* HARDWARE DE SERVIDORES: RACK, BLADE, ARREGLOS DE DISCOS.
* SOFTWARE DE SERVIDORES: TIPOS, CARACTERÍSTICAS, LICENCIAMIENTO, MÁQUINAS VIRTUALES (VMWARE), SERVIDORES DE BASES DE DATOS.
* MIGRACIÓN DE DATOS: CONCEPTO, PLANES, COPIAS DE SEGURIDAD, PROCESOS DE RESTAURACIÓN.
* SISTEMAS OPERATIVOS DE SERVIDORES: CONCEPTO, CARACTERÍSTICAS, TIPOS (LINUX, WINDOWS SERVER), LICENCIAMIENTO, REQUISITOS MÍNIMOS DE INSTALACIÓN.
* HOSTING Y DOMINIO: TIPOS, CONFIGURACIONES, GESTORES DE CONTENIDOS.
* FTP: CONCEPTO, TRANSFERENCIA DE ARCHIVOS.
</t>
    </r>
    <r>
      <rPr>
        <b/>
        <sz val="8"/>
        <color rgb="FF0C343D"/>
        <rFont val="Roboto"/>
      </rPr>
      <t>DESPLEGAR EL SOFTWARE DE ACUERDO CON LA ARQUITECTURA Y LAS POLÍTICAS ESTABLECIDAS:</t>
    </r>
    <r>
      <rPr>
        <sz val="8"/>
        <color rgb="FF0C343D"/>
        <rFont val="Roboto"/>
      </rPr>
      <t xml:space="preserve">
* CONTEXTO DEL AMBIENTE DE PRODUCCIÓN: UBICACIÓN DE LOS SERVIDORES, SISTEMA OPERATIVO DE RED, POLÍTICAS DE SEGURIDAD, CONFIGURACIÓN DEL SISTEMA (SERVIDORES, CLIENTES).
* DISTRIBUCIÓN DEL SOFTWARE: PROCEDIMIENTO DE LIBERACIÓN DEL SOFTWARE, ORGANIZACIÓN DE ARCHIVOS
* CLOUD COMPUTING: CONCEPTOS, DISEÑO, TECNOLOGÍAS Y PRINCIPALES HERRAMIENTAS PARA TRABAJAR EN LA NUBE, AZURE, AWS, HEROKU, NODE.JS, SERVICIOS Y PROVEEDORES CLOUD DE RELEVANCIA, COSTOS. 
</t>
    </r>
    <r>
      <rPr>
        <b/>
        <sz val="8"/>
        <color rgb="FF0C343D"/>
        <rFont val="Roboto"/>
      </rPr>
      <t>DOCUMENTAR EL PROCESO DE IMPLANTACIÓN DE SOFTWARE SIGUIENDO ESTÁNDARES DE CALIDAD:</t>
    </r>
    <r>
      <rPr>
        <sz val="8"/>
        <color rgb="FF0C343D"/>
        <rFont val="Roboto"/>
      </rPr>
      <t xml:space="preserve">
* MANUALES: TIPOS (TÉCNICO, USUARIO E INSTALACIÓN), AYUDAS EN LÍNEA, TÉCNICAS DE PRESENTACIÓN DE TRABAJOS ESCRITOS, NORMAS ICONTEC / APA, REDACCIÓN, ORTOGRAFÍA.
</t>
    </r>
    <r>
      <rPr>
        <b/>
        <sz val="8"/>
        <color rgb="FF0C343D"/>
        <rFont val="Roboto"/>
      </rPr>
      <t>* INFORMES TÉCNICOS: DEFINICIÓN, CARACTERÍSTICAS, CONTENIDO. IMPLANTAR EL SOFTWARE DE ACUERDO CON LOS NIVELES DE SERVICIO ESTABLECIDOS CON EL CLIENTE:</t>
    </r>
    <r>
      <rPr>
        <sz val="8"/>
        <color rgb="FF0C343D"/>
        <rFont val="Roboto"/>
      </rPr>
      <t xml:space="preserve">
* CAPACITACIÓN: TÉCNICAS DE COMUNICACIÓN ORAL, PLANES DE CAPACITACIÓN Y ELABORACIÓN DE MATERIALES DE APOYO.
* ACTAS DE ENTREGA: FORMATO, DILIGENCIAMIENTO</t>
    </r>
  </si>
  <si>
    <t>Nombre Corto</t>
  </si>
  <si>
    <t>Trimestre Ini</t>
  </si>
  <si>
    <t>Trimestre Fin</t>
  </si>
  <si>
    <t>HORAS TEC TRIM</t>
  </si>
  <si>
    <t>HORAS TRANS</t>
  </si>
  <si>
    <t>TOTAL HORAS</t>
  </si>
  <si>
    <t>C92-R02-Requerimientos</t>
  </si>
  <si>
    <t>I</t>
  </si>
  <si>
    <t>C92-R04-Requerimientos</t>
  </si>
  <si>
    <t>C92-R01-Requerimientos</t>
  </si>
  <si>
    <t>C92-R03-Requerimientos</t>
  </si>
  <si>
    <t>II</t>
  </si>
  <si>
    <t>C93-R02-UML</t>
  </si>
  <si>
    <t>C93-R04-UML</t>
  </si>
  <si>
    <t>III</t>
  </si>
  <si>
    <t>C95-R02</t>
  </si>
  <si>
    <t>C95-R01</t>
  </si>
  <si>
    <t>C94-R01</t>
  </si>
  <si>
    <t>C94-R02</t>
  </si>
  <si>
    <t>IV</t>
  </si>
  <si>
    <t>C98-R01</t>
  </si>
  <si>
    <t>C06-R02-</t>
  </si>
  <si>
    <t>C95-R03</t>
  </si>
  <si>
    <t>C98-R02</t>
  </si>
  <si>
    <t>VI</t>
  </si>
  <si>
    <t>C94-R03</t>
  </si>
  <si>
    <t>C95-R04</t>
  </si>
  <si>
    <t>C96-R05</t>
  </si>
  <si>
    <t>C97-R01</t>
  </si>
  <si>
    <t>C98-R03</t>
  </si>
  <si>
    <t>C97-R03</t>
  </si>
  <si>
    <t>C97-R04</t>
  </si>
  <si>
    <t>C97-R02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</si>
</sst>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rgb="FFD0E0E3"/>
      <name val="Impact"/>
      <family val="2"/>
    </font>
    <font>
      <b/>
      <sz val="14"/>
      <color rgb="FF0C343D"/>
      <name val="Roboto"/>
    </font>
    <font>
      <b/>
      <sz val="10"/>
      <color rgb="FF0C343D"/>
      <name val="Roboto"/>
    </font>
    <font>
      <b/>
      <sz val="12"/>
      <color rgb="FF0C343D"/>
      <name val="Roboto"/>
    </font>
    <font>
      <b/>
      <sz val="10"/>
      <color rgb="FF0C343D"/>
      <name val="Arial"/>
      <family val="2"/>
      <scheme val="minor"/>
    </font>
    <font>
      <sz val="10"/>
      <color rgb="FF0C343D"/>
      <name val="Arial"/>
      <family val="2"/>
      <scheme val="minor"/>
    </font>
    <font>
      <b/>
      <sz val="10"/>
      <color rgb="FF7F6000"/>
      <name val="Arial"/>
      <family val="2"/>
      <scheme val="minor"/>
    </font>
    <font>
      <sz val="10"/>
      <name val="Arial"/>
      <family val="2"/>
    </font>
    <font>
      <b/>
      <sz val="10"/>
      <color rgb="FF274E13"/>
      <name val="Arial"/>
      <family val="2"/>
      <scheme val="minor"/>
    </font>
    <font>
      <b/>
      <sz val="10"/>
      <color rgb="FF4C1130"/>
      <name val="Arial"/>
      <family val="2"/>
      <scheme val="minor"/>
    </font>
    <font>
      <b/>
      <sz val="10"/>
      <color rgb="FF073763"/>
      <name val="Arial"/>
      <family val="2"/>
      <scheme val="minor"/>
    </font>
    <font>
      <sz val="10"/>
      <color rgb="FF0C343D"/>
      <name val="Roboto"/>
    </font>
    <font>
      <b/>
      <sz val="10"/>
      <color rgb="FF20124D"/>
      <name val="Arial"/>
      <family val="2"/>
      <scheme val="minor"/>
    </font>
    <font>
      <sz val="10"/>
      <color rgb="FFD0E0E3"/>
      <name val="Arial"/>
      <family val="2"/>
      <scheme val="minor"/>
    </font>
    <font>
      <b/>
      <sz val="12"/>
      <color rgb="FFD0E0E3"/>
      <name val="Arial"/>
      <family val="2"/>
      <scheme val="minor"/>
    </font>
    <font>
      <b/>
      <sz val="10"/>
      <color rgb="FFD0E0E3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rgb="FF0C343D"/>
      <name val="Roboto"/>
    </font>
    <font>
      <b/>
      <sz val="10"/>
      <color rgb="FF741B47"/>
      <name val="Roboto"/>
    </font>
    <font>
      <sz val="10"/>
      <color rgb="FF741B47"/>
      <name val="Roboto"/>
    </font>
    <font>
      <sz val="8"/>
      <color rgb="FF0C343D"/>
      <name val="Roboto"/>
    </font>
    <font>
      <b/>
      <sz val="12"/>
      <color rgb="FF0C343D"/>
      <name val="Arial"/>
      <family val="2"/>
      <scheme val="minor"/>
    </font>
    <font>
      <sz val="10"/>
      <color rgb="FF0C343D"/>
      <name val="Arial"/>
      <family val="2"/>
    </font>
    <font>
      <b/>
      <sz val="10"/>
      <color rgb="FF073763"/>
      <name val="Arial"/>
      <family val="2"/>
    </font>
    <font>
      <b/>
      <sz val="8"/>
      <color rgb="FF0C343D"/>
      <name val="Roboto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  <font>
      <u/>
      <sz val="10"/>
      <color rgb="FF0C343D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7F6000"/>
        <bgColor rgb="FF7F6000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6"/>
        <bgColor rgb="FFD0E0E3"/>
      </patternFill>
    </fill>
    <fill>
      <patternFill patternType="solid">
        <fgColor theme="6"/>
        <bgColor rgb="FFA2C4C9"/>
      </patternFill>
    </fill>
    <fill>
      <patternFill patternType="solid">
        <fgColor rgb="FFFFFF00"/>
        <bgColor rgb="FFA2C4C9"/>
      </patternFill>
    </fill>
    <fill>
      <patternFill patternType="solid">
        <fgColor rgb="FFFFFF00"/>
        <bgColor rgb="FFD0E0E3"/>
      </patternFill>
    </fill>
    <fill>
      <patternFill patternType="solid">
        <fgColor rgb="FF92D050"/>
        <bgColor rgb="FFA2C4C9"/>
      </patternFill>
    </fill>
  </fills>
  <borders count="33">
    <border>
      <left/>
      <right/>
      <top/>
      <bottom/>
      <diagonal/>
    </border>
    <border>
      <left/>
      <right/>
      <top/>
      <bottom style="dotted">
        <color rgb="FF0C343D"/>
      </bottom>
      <diagonal/>
    </border>
    <border>
      <left/>
      <right/>
      <top style="dotted">
        <color rgb="FF0C343D"/>
      </top>
      <bottom style="dotted">
        <color rgb="FF0C343D"/>
      </bottom>
      <diagonal/>
    </border>
    <border>
      <left/>
      <right/>
      <top/>
      <bottom style="thick">
        <color rgb="FF134F5C"/>
      </bottom>
      <diagonal/>
    </border>
    <border>
      <left/>
      <right/>
      <top style="dotted">
        <color rgb="FF0C343D"/>
      </top>
      <bottom style="thick">
        <color rgb="FF134F5C"/>
      </bottom>
      <diagonal/>
    </border>
    <border>
      <left/>
      <right/>
      <top/>
      <bottom style="thick">
        <color rgb="FF434343"/>
      </bottom>
      <diagonal/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  <diagonal/>
    </border>
    <border>
      <left/>
      <right/>
      <top/>
      <bottom style="dotted">
        <color rgb="FF434343"/>
      </bottom>
      <diagonal/>
    </border>
    <border>
      <left/>
      <right/>
      <top/>
      <bottom style="thick">
        <color rgb="FF0C343D"/>
      </bottom>
      <diagonal/>
    </border>
    <border>
      <left/>
      <right/>
      <top style="dotted">
        <color rgb="FF0C343D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dotted">
        <color rgb="FF0C343D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434343"/>
      </left>
      <right style="thick">
        <color rgb="FF434343"/>
      </right>
      <top style="thick">
        <color rgb="FF434343"/>
      </top>
      <bottom style="thick">
        <color rgb="FF43434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dotted">
        <color rgb="FF0C343D"/>
      </bottom>
      <diagonal/>
    </border>
    <border>
      <left/>
      <right style="thin">
        <color rgb="FF000000"/>
      </right>
      <top style="thin">
        <color rgb="FF000000"/>
      </top>
      <bottom style="dotted">
        <color rgb="FF0C343D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dotted">
        <color rgb="FF0C343D"/>
      </top>
      <bottom style="dotted">
        <color rgb="FF0C343D"/>
      </bottom>
      <diagonal/>
    </border>
    <border>
      <left/>
      <right style="thin">
        <color rgb="FF000000"/>
      </right>
      <top/>
      <bottom style="dotted">
        <color rgb="FF0C343D"/>
      </bottom>
      <diagonal/>
    </border>
    <border>
      <left style="thin">
        <color rgb="FF000000"/>
      </left>
      <right/>
      <top/>
      <bottom style="thick">
        <color rgb="FF134F5C"/>
      </bottom>
      <diagonal/>
    </border>
    <border>
      <left/>
      <right style="thin">
        <color rgb="FF000000"/>
      </right>
      <top style="dotted">
        <color rgb="FF0C343D"/>
      </top>
      <bottom style="thick">
        <color rgb="FF134F5C"/>
      </bottom>
      <diagonal/>
    </border>
    <border>
      <left/>
      <right/>
      <top/>
      <bottom style="thin">
        <color rgb="FF000000"/>
      </bottom>
      <diagonal/>
    </border>
    <border>
      <left/>
      <right/>
      <top style="dotted">
        <color rgb="FF0C343D"/>
      </top>
      <bottom style="thin">
        <color rgb="FF000000"/>
      </bottom>
      <diagonal/>
    </border>
    <border>
      <left/>
      <right/>
      <top style="dotted">
        <color rgb="FF0C343D"/>
      </top>
      <bottom style="medium">
        <color rgb="FF0C343D"/>
      </bottom>
      <diagonal/>
    </border>
    <border>
      <left/>
      <right/>
      <top/>
      <bottom style="medium">
        <color rgb="FF0C343D"/>
      </bottom>
      <diagonal/>
    </border>
    <border>
      <left style="thin">
        <color rgb="FF000000"/>
      </left>
      <right/>
      <top style="thick">
        <color rgb="FF134F5C"/>
      </top>
      <bottom/>
      <diagonal/>
    </border>
    <border>
      <left/>
      <right/>
      <top style="thick">
        <color rgb="FF134F5C"/>
      </top>
      <bottom/>
      <diagonal/>
    </border>
    <border>
      <left/>
      <right/>
      <top style="thick">
        <color rgb="FF134F5C"/>
      </top>
      <bottom style="dotted">
        <color rgb="FF0C343D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4" borderId="0" xfId="0" applyFont="1" applyFill="1" applyAlignment="1">
      <alignment horizontal="center" vertical="center"/>
    </xf>
    <xf numFmtId="0" fontId="7" fillId="3" borderId="2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7" fillId="3" borderId="4" xfId="0" applyFont="1" applyFill="1" applyBorder="1"/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10" fillId="6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4" xfId="0" applyFont="1" applyFill="1" applyBorder="1"/>
    <xf numFmtId="0" fontId="11" fillId="7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/>
    <xf numFmtId="0" fontId="6" fillId="5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3" fillId="5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13" fillId="5" borderId="2" xfId="0" applyFont="1" applyFill="1" applyBorder="1"/>
    <xf numFmtId="0" fontId="4" fillId="5" borderId="4" xfId="0" applyFont="1" applyFill="1" applyBorder="1" applyAlignment="1">
      <alignment horizontal="center" vertical="center"/>
    </xf>
    <xf numFmtId="0" fontId="13" fillId="5" borderId="4" xfId="0" applyFont="1" applyFill="1" applyBorder="1"/>
    <xf numFmtId="0" fontId="14" fillId="9" borderId="0" xfId="0" applyFont="1" applyFill="1" applyAlignment="1">
      <alignment horizontal="center" vertical="center"/>
    </xf>
    <xf numFmtId="0" fontId="15" fillId="2" borderId="3" xfId="0" applyFont="1" applyFill="1" applyBorder="1"/>
    <xf numFmtId="0" fontId="16" fillId="2" borderId="3" xfId="0" applyFont="1" applyFill="1" applyBorder="1" applyAlignment="1">
      <alignment horizontal="right"/>
    </xf>
    <xf numFmtId="0" fontId="16" fillId="2" borderId="3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6" xfId="0" applyFont="1" applyFill="1" applyBorder="1"/>
    <xf numFmtId="0" fontId="6" fillId="5" borderId="5" xfId="0" applyFont="1" applyFill="1" applyBorder="1" applyAlignment="1">
      <alignment horizontal="center" vertical="center"/>
    </xf>
    <xf numFmtId="0" fontId="7" fillId="5" borderId="5" xfId="0" applyFont="1" applyFill="1" applyBorder="1"/>
    <xf numFmtId="0" fontId="4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/>
    </xf>
    <xf numFmtId="0" fontId="7" fillId="3" borderId="3" xfId="0" applyFont="1" applyFill="1" applyBorder="1"/>
    <xf numFmtId="0" fontId="6" fillId="5" borderId="9" xfId="0" applyFont="1" applyFill="1" applyBorder="1" applyAlignment="1">
      <alignment horizontal="center" vertical="center"/>
    </xf>
    <xf numFmtId="0" fontId="7" fillId="5" borderId="9" xfId="0" applyFont="1" applyFill="1" applyBorder="1"/>
    <xf numFmtId="0" fontId="7" fillId="3" borderId="0" xfId="0" applyFont="1" applyFill="1"/>
    <xf numFmtId="0" fontId="6" fillId="3" borderId="9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3" borderId="10" xfId="0" applyFont="1" applyFill="1" applyBorder="1"/>
    <xf numFmtId="0" fontId="6" fillId="5" borderId="13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7" fillId="5" borderId="12" xfId="0" applyFont="1" applyFill="1" applyBorder="1"/>
    <xf numFmtId="0" fontId="6" fillId="5" borderId="16" xfId="0" applyFont="1" applyFill="1" applyBorder="1" applyAlignment="1">
      <alignment horizontal="center" vertical="center"/>
    </xf>
    <xf numFmtId="0" fontId="7" fillId="5" borderId="16" xfId="0" applyFont="1" applyFill="1" applyBorder="1"/>
    <xf numFmtId="0" fontId="17" fillId="2" borderId="3" xfId="0" applyFont="1" applyFill="1" applyBorder="1" applyAlignment="1">
      <alignment horizontal="right"/>
    </xf>
    <xf numFmtId="0" fontId="17" fillId="2" borderId="3" xfId="0" applyFont="1" applyFill="1" applyBorder="1" applyAlignment="1">
      <alignment horizontal="center" vertical="center"/>
    </xf>
    <xf numFmtId="0" fontId="15" fillId="2" borderId="0" xfId="0" applyFont="1" applyFill="1"/>
    <xf numFmtId="0" fontId="18" fillId="11" borderId="17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left" vertical="center" wrapText="1"/>
    </xf>
    <xf numFmtId="0" fontId="20" fillId="12" borderId="0" xfId="0" applyFont="1" applyFill="1" applyAlignment="1">
      <alignment horizontal="left" vertical="center" wrapText="1"/>
    </xf>
    <xf numFmtId="0" fontId="21" fillId="12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right" vertical="center" wrapText="1"/>
    </xf>
    <xf numFmtId="0" fontId="20" fillId="7" borderId="3" xfId="0" applyFont="1" applyFill="1" applyBorder="1" applyAlignment="1">
      <alignment horizontal="left" vertical="center" wrapText="1"/>
    </xf>
    <xf numFmtId="0" fontId="20" fillId="7" borderId="3" xfId="0" applyFont="1" applyFill="1" applyBorder="1" applyAlignment="1">
      <alignment horizontal="right" vertical="center" wrapText="1"/>
    </xf>
    <xf numFmtId="0" fontId="22" fillId="3" borderId="0" xfId="0" applyFont="1" applyFill="1" applyAlignment="1">
      <alignment vertical="top" wrapText="1"/>
    </xf>
    <xf numFmtId="0" fontId="22" fillId="5" borderId="0" xfId="0" applyFont="1" applyFill="1" applyAlignment="1">
      <alignment vertical="top" wrapText="1"/>
    </xf>
    <xf numFmtId="0" fontId="4" fillId="5" borderId="18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7" fillId="5" borderId="19" xfId="0" applyFont="1" applyFill="1" applyBorder="1"/>
    <xf numFmtId="0" fontId="8" fillId="4" borderId="10" xfId="0" applyFont="1" applyFill="1" applyBorder="1" applyAlignment="1">
      <alignment horizontal="center" vertical="center"/>
    </xf>
    <xf numFmtId="0" fontId="23" fillId="5" borderId="19" xfId="0" applyFont="1" applyFill="1" applyBorder="1" applyAlignment="1">
      <alignment horizontal="center" vertical="center"/>
    </xf>
    <xf numFmtId="0" fontId="23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5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7" fillId="3" borderId="27" xfId="0" applyFont="1" applyFill="1" applyBorder="1"/>
    <xf numFmtId="0" fontId="11" fillId="7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13" fillId="3" borderId="28" xfId="0" applyFont="1" applyFill="1" applyBorder="1"/>
    <xf numFmtId="0" fontId="5" fillId="3" borderId="28" xfId="0" applyFont="1" applyFill="1" applyBorder="1" applyAlignment="1">
      <alignment horizontal="center" vertical="center"/>
    </xf>
    <xf numFmtId="0" fontId="13" fillId="3" borderId="29" xfId="0" applyFont="1" applyFill="1" applyBorder="1"/>
    <xf numFmtId="0" fontId="5" fillId="3" borderId="29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1" fillId="0" borderId="0" xfId="0" applyFont="1"/>
    <xf numFmtId="0" fontId="7" fillId="3" borderId="28" xfId="0" applyFont="1" applyFill="1" applyBorder="1"/>
    <xf numFmtId="0" fontId="23" fillId="3" borderId="28" xfId="0" applyFont="1" applyFill="1" applyBorder="1" applyAlignment="1">
      <alignment horizontal="center" vertical="center"/>
    </xf>
    <xf numFmtId="0" fontId="7" fillId="5" borderId="28" xfId="0" applyFont="1" applyFill="1" applyBorder="1"/>
    <xf numFmtId="0" fontId="23" fillId="5" borderId="28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wrapText="1"/>
    </xf>
    <xf numFmtId="0" fontId="5" fillId="5" borderId="3" xfId="0" applyFont="1" applyFill="1" applyBorder="1" applyAlignment="1">
      <alignment horizontal="center" wrapText="1"/>
    </xf>
    <xf numFmtId="0" fontId="24" fillId="5" borderId="4" xfId="0" applyFont="1" applyFill="1" applyBorder="1"/>
    <xf numFmtId="0" fontId="25" fillId="8" borderId="3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left" vertical="center" wrapText="1"/>
    </xf>
    <xf numFmtId="0" fontId="5" fillId="5" borderId="31" xfId="0" applyFont="1" applyFill="1" applyBorder="1" applyAlignment="1">
      <alignment horizontal="left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7" fillId="5" borderId="32" xfId="0" applyFont="1" applyFill="1" applyBorder="1"/>
    <xf numFmtId="0" fontId="12" fillId="8" borderId="31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left" wrapText="1"/>
    </xf>
    <xf numFmtId="0" fontId="5" fillId="5" borderId="31" xfId="0" applyFont="1" applyFill="1" applyBorder="1" applyAlignment="1">
      <alignment wrapText="1"/>
    </xf>
    <xf numFmtId="0" fontId="5" fillId="5" borderId="31" xfId="0" applyFont="1" applyFill="1" applyBorder="1" applyAlignment="1">
      <alignment horizontal="center" wrapText="1"/>
    </xf>
    <xf numFmtId="0" fontId="24" fillId="5" borderId="32" xfId="0" applyFont="1" applyFill="1" applyBorder="1"/>
    <xf numFmtId="0" fontId="25" fillId="8" borderId="31" xfId="0" applyFont="1" applyFill="1" applyBorder="1" applyAlignment="1">
      <alignment horizontal="center"/>
    </xf>
    <xf numFmtId="0" fontId="1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right" vertical="center" wrapText="1"/>
    </xf>
    <xf numFmtId="0" fontId="1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0" fontId="20" fillId="12" borderId="0" xfId="0" applyFont="1" applyFill="1" applyAlignment="1">
      <alignment horizontal="right" vertical="center" wrapText="1"/>
    </xf>
    <xf numFmtId="0" fontId="21" fillId="7" borderId="0" xfId="0" applyFont="1" applyFill="1" applyAlignment="1">
      <alignment horizontal="left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0" fontId="7" fillId="14" borderId="2" xfId="0" applyFont="1" applyFill="1" applyBorder="1"/>
    <xf numFmtId="0" fontId="6" fillId="14" borderId="1" xfId="0" applyFont="1" applyFill="1" applyBorder="1" applyAlignment="1">
      <alignment horizontal="center" vertical="center"/>
    </xf>
    <xf numFmtId="0" fontId="7" fillId="13" borderId="1" xfId="0" applyFont="1" applyFill="1" applyBorder="1"/>
    <xf numFmtId="0" fontId="7" fillId="14" borderId="1" xfId="0" applyFont="1" applyFill="1" applyBorder="1"/>
    <xf numFmtId="0" fontId="6" fillId="15" borderId="1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7" fillId="15" borderId="1" xfId="0" applyFont="1" applyFill="1" applyBorder="1"/>
    <xf numFmtId="0" fontId="7" fillId="15" borderId="2" xfId="0" applyFont="1" applyFill="1" applyBorder="1"/>
    <xf numFmtId="0" fontId="7" fillId="15" borderId="4" xfId="0" applyFont="1" applyFill="1" applyBorder="1"/>
    <xf numFmtId="0" fontId="6" fillId="13" borderId="2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7" fillId="13" borderId="2" xfId="0" applyFont="1" applyFill="1" applyBorder="1"/>
    <xf numFmtId="0" fontId="7" fillId="13" borderId="4" xfId="0" applyFont="1" applyFill="1" applyBorder="1"/>
    <xf numFmtId="0" fontId="6" fillId="13" borderId="3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7" fillId="5" borderId="3" xfId="0" applyFont="1" applyFill="1" applyBorder="1" applyAlignment="1">
      <alignment horizontal="left" vertical="center"/>
    </xf>
    <xf numFmtId="0" fontId="7" fillId="3" borderId="9" xfId="0" applyFont="1" applyFill="1" applyBorder="1"/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16" borderId="1" xfId="0" applyFont="1" applyFill="1" applyBorder="1"/>
    <xf numFmtId="0" fontId="7" fillId="17" borderId="2" xfId="0" applyFont="1" applyFill="1" applyBorder="1"/>
    <xf numFmtId="0" fontId="7" fillId="16" borderId="2" xfId="0" applyFont="1" applyFill="1" applyBorder="1"/>
    <xf numFmtId="0" fontId="29" fillId="16" borderId="2" xfId="0" applyFont="1" applyFill="1" applyBorder="1"/>
    <xf numFmtId="0" fontId="7" fillId="17" borderId="4" xfId="0" applyFont="1" applyFill="1" applyBorder="1"/>
    <xf numFmtId="0" fontId="7" fillId="3" borderId="8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/>
    <xf numFmtId="0" fontId="9" fillId="0" borderId="3" xfId="0" applyFont="1" applyBorder="1"/>
    <xf numFmtId="0" fontId="5" fillId="5" borderId="0" xfId="0" applyFont="1" applyFill="1" applyAlignment="1">
      <alignment horizontal="left" vertical="center" wrapText="1"/>
    </xf>
    <xf numFmtId="0" fontId="27" fillId="0" borderId="0" xfId="0" applyFont="1"/>
    <xf numFmtId="0" fontId="28" fillId="0" borderId="3" xfId="0" applyFont="1" applyBorder="1"/>
    <xf numFmtId="0" fontId="10" fillId="6" borderId="0" xfId="0" applyFont="1" applyFill="1" applyAlignment="1">
      <alignment horizontal="center" vertical="center"/>
    </xf>
    <xf numFmtId="0" fontId="9" fillId="0" borderId="5" xfId="0" applyFont="1" applyBorder="1"/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textRotation="90" wrapText="1"/>
    </xf>
    <xf numFmtId="0" fontId="4" fillId="5" borderId="0" xfId="0" applyFont="1" applyFill="1" applyAlignment="1">
      <alignment horizontal="left" vertical="center" wrapText="1"/>
    </xf>
    <xf numFmtId="0" fontId="7" fillId="5" borderId="0" xfId="0" applyFont="1" applyFill="1"/>
    <xf numFmtId="0" fontId="9" fillId="0" borderId="7" xfId="0" applyFont="1" applyBorder="1"/>
    <xf numFmtId="0" fontId="9" fillId="0" borderId="1" xfId="0" applyFont="1" applyBorder="1"/>
    <xf numFmtId="0" fontId="7" fillId="3" borderId="9" xfId="0" applyFont="1" applyFill="1" applyBorder="1"/>
    <xf numFmtId="0" fontId="8" fillId="4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4" fillId="5" borderId="11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9" fillId="0" borderId="15" xfId="0" applyFont="1" applyBorder="1"/>
    <xf numFmtId="0" fontId="5" fillId="5" borderId="12" xfId="0" applyFont="1" applyFill="1" applyBorder="1" applyAlignment="1">
      <alignment horizontal="center" vertical="center" wrapText="1"/>
    </xf>
    <xf numFmtId="0" fontId="9" fillId="0" borderId="16" xfId="0" applyFont="1" applyBorder="1"/>
    <xf numFmtId="0" fontId="5" fillId="5" borderId="12" xfId="0" applyFont="1" applyFill="1" applyBorder="1" applyAlignment="1">
      <alignment horizontal="left" vertical="center" wrapText="1"/>
    </xf>
    <xf numFmtId="0" fontId="17" fillId="10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9" fillId="0" borderId="26" xfId="0" applyFont="1" applyBorder="1"/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color rgb="FF990000"/>
      </font>
      <fill>
        <patternFill patternType="solid">
          <fgColor rgb="FFF4C7C3"/>
          <bgColor rgb="FFF4C7C3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rgb="FF990000"/>
      </font>
      <fill>
        <patternFill patternType="solid">
          <fgColor rgb="FFF4C7C3"/>
          <bgColor rgb="FFF4C7C3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  <color rgb="FF990000"/>
      </font>
      <fill>
        <patternFill patternType="solid">
          <fgColor rgb="FFF4C7C3"/>
          <bgColor rgb="FFF4C7C3"/>
        </patternFill>
      </fill>
    </dxf>
    <dxf>
      <font>
        <b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8CB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9FC5-BD8B-42DE-ADBA-3999BB50AEB9}">
  <sheetPr>
    <outlinePr summaryBelow="0" summaryRight="0"/>
  </sheetPr>
  <dimension ref="B1:Q1019"/>
  <sheetViews>
    <sheetView workbookViewId="0">
      <pane ySplit="2" topLeftCell="A3" activePane="bottomLeft" state="frozen"/>
      <selection pane="bottomLeft" activeCell="H43" sqref="H43:H46"/>
    </sheetView>
  </sheetViews>
  <sheetFormatPr baseColWidth="10" defaultColWidth="12.5703125" defaultRowHeight="15.75" customHeight="1" x14ac:dyDescent="0.2"/>
  <cols>
    <col min="1" max="1" width="3.42578125" customWidth="1"/>
    <col min="2" max="2" width="6.140625" customWidth="1"/>
    <col min="3" max="3" width="12.5703125" customWidth="1"/>
    <col min="4" max="4" width="9" customWidth="1"/>
    <col min="5" max="5" width="34.140625" customWidth="1"/>
    <col min="6" max="6" width="9.28515625" customWidth="1"/>
    <col min="7" max="14" width="5.5703125" customWidth="1"/>
    <col min="15" max="15" width="9.7109375" customWidth="1"/>
    <col min="16" max="16" width="203.7109375" customWidth="1"/>
    <col min="17" max="17" width="22.140625" customWidth="1"/>
  </cols>
  <sheetData>
    <row r="1" spans="2:17" ht="12.75" x14ac:dyDescent="0.2">
      <c r="H1" s="1"/>
      <c r="O1" s="1"/>
    </row>
    <row r="2" spans="2:17" ht="33" customHeight="1" x14ac:dyDescent="0.2"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</row>
    <row r="3" spans="2:17" ht="12.75" x14ac:dyDescent="0.2">
      <c r="B3" s="193" t="s">
        <v>15</v>
      </c>
      <c r="C3" s="188">
        <v>220501092</v>
      </c>
      <c r="D3" s="189">
        <v>144</v>
      </c>
      <c r="E3" s="190" t="s">
        <v>16</v>
      </c>
      <c r="F3" s="6">
        <v>36</v>
      </c>
      <c r="G3" s="6">
        <f t="shared" ref="G3:G29" si="0">F3-SUM(H3:N3)</f>
        <v>0</v>
      </c>
      <c r="H3" s="164">
        <v>36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 t="s">
        <v>17</v>
      </c>
      <c r="P3" s="154" t="s">
        <v>18</v>
      </c>
      <c r="Q3" s="199" t="s">
        <v>19</v>
      </c>
    </row>
    <row r="4" spans="2:17" ht="12.75" x14ac:dyDescent="0.2">
      <c r="B4" s="181"/>
      <c r="C4" s="181"/>
      <c r="D4" s="181"/>
      <c r="E4" s="181"/>
      <c r="F4" s="6">
        <v>36</v>
      </c>
      <c r="G4" s="6">
        <f t="shared" si="0"/>
        <v>0</v>
      </c>
      <c r="H4" s="164">
        <v>36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 t="s">
        <v>17</v>
      </c>
      <c r="P4" s="154" t="s">
        <v>20</v>
      </c>
      <c r="Q4" s="181"/>
    </row>
    <row r="5" spans="2:17" ht="12.75" x14ac:dyDescent="0.2">
      <c r="B5" s="181"/>
      <c r="C5" s="181"/>
      <c r="D5" s="181"/>
      <c r="E5" s="181"/>
      <c r="F5" s="6">
        <v>36</v>
      </c>
      <c r="G5" s="6">
        <f t="shared" si="0"/>
        <v>0</v>
      </c>
      <c r="H5" s="164">
        <v>36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 t="s">
        <v>17</v>
      </c>
      <c r="P5" s="154" t="s">
        <v>21</v>
      </c>
      <c r="Q5" s="181"/>
    </row>
    <row r="6" spans="2:17" ht="12.75" x14ac:dyDescent="0.2">
      <c r="B6" s="181"/>
      <c r="C6" s="182"/>
      <c r="D6" s="182"/>
      <c r="E6" s="182"/>
      <c r="F6" s="10">
        <v>36</v>
      </c>
      <c r="G6" s="10">
        <f t="shared" si="0"/>
        <v>0</v>
      </c>
      <c r="H6" s="165">
        <v>36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 t="s">
        <v>17</v>
      </c>
      <c r="P6" s="155" t="s">
        <v>22</v>
      </c>
      <c r="Q6" s="187"/>
    </row>
    <row r="7" spans="2:17" ht="12.75" x14ac:dyDescent="0.2">
      <c r="B7" s="181"/>
      <c r="C7" s="194">
        <v>220501093</v>
      </c>
      <c r="D7" s="180">
        <v>288</v>
      </c>
      <c r="E7" s="183" t="s">
        <v>23</v>
      </c>
      <c r="F7" s="15">
        <v>71</v>
      </c>
      <c r="G7" s="15">
        <f t="shared" si="0"/>
        <v>0</v>
      </c>
      <c r="H7" s="15">
        <v>0</v>
      </c>
      <c r="I7" s="15">
        <v>71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 t="s">
        <v>24</v>
      </c>
      <c r="P7" s="156" t="s">
        <v>25</v>
      </c>
      <c r="Q7" s="186" t="s">
        <v>26</v>
      </c>
    </row>
    <row r="8" spans="2:17" ht="12.75" x14ac:dyDescent="0.2">
      <c r="B8" s="181"/>
      <c r="C8" s="181"/>
      <c r="D8" s="181"/>
      <c r="E8" s="184"/>
      <c r="F8" s="15">
        <v>70</v>
      </c>
      <c r="G8" s="15">
        <f t="shared" si="0"/>
        <v>0</v>
      </c>
      <c r="H8" s="15">
        <v>0</v>
      </c>
      <c r="I8" s="15">
        <v>70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 t="s">
        <v>24</v>
      </c>
      <c r="P8" s="156" t="s">
        <v>27</v>
      </c>
      <c r="Q8" s="181"/>
    </row>
    <row r="9" spans="2:17" ht="12.75" x14ac:dyDescent="0.2">
      <c r="B9" s="181"/>
      <c r="C9" s="181"/>
      <c r="D9" s="181"/>
      <c r="E9" s="184"/>
      <c r="F9" s="15">
        <v>77</v>
      </c>
      <c r="G9" s="15">
        <f t="shared" si="0"/>
        <v>0</v>
      </c>
      <c r="H9" s="166">
        <v>77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 t="s">
        <v>17</v>
      </c>
      <c r="P9" s="156" t="s">
        <v>28</v>
      </c>
      <c r="Q9" s="181"/>
    </row>
    <row r="10" spans="2:17" ht="13.5" customHeight="1" thickBot="1" x14ac:dyDescent="0.25">
      <c r="B10" s="181"/>
      <c r="C10" s="182"/>
      <c r="D10" s="182"/>
      <c r="E10" s="185"/>
      <c r="F10" s="18">
        <v>70</v>
      </c>
      <c r="G10" s="18">
        <f t="shared" si="0"/>
        <v>0</v>
      </c>
      <c r="H10" s="18">
        <v>0</v>
      </c>
      <c r="I10" s="18">
        <v>0</v>
      </c>
      <c r="J10" s="18">
        <v>70</v>
      </c>
      <c r="K10" s="18">
        <v>0</v>
      </c>
      <c r="L10" s="18">
        <v>0</v>
      </c>
      <c r="M10" s="18">
        <v>0</v>
      </c>
      <c r="N10" s="18">
        <v>0</v>
      </c>
      <c r="O10" s="18" t="s">
        <v>29</v>
      </c>
      <c r="P10" s="152" t="s">
        <v>30</v>
      </c>
      <c r="Q10" s="187"/>
    </row>
    <row r="11" spans="2:17" ht="13.5" thickTop="1" x14ac:dyDescent="0.2">
      <c r="B11" s="181"/>
      <c r="C11" s="188">
        <v>220501095</v>
      </c>
      <c r="D11" s="189">
        <v>336</v>
      </c>
      <c r="E11" s="190" t="s">
        <v>31</v>
      </c>
      <c r="F11" s="6">
        <v>84</v>
      </c>
      <c r="G11" s="15">
        <f t="shared" si="0"/>
        <v>0</v>
      </c>
      <c r="H11" s="6">
        <v>0</v>
      </c>
      <c r="I11" s="6">
        <v>0</v>
      </c>
      <c r="J11" s="6">
        <v>84</v>
      </c>
      <c r="K11" s="6">
        <v>0</v>
      </c>
      <c r="L11" s="6">
        <v>0</v>
      </c>
      <c r="M11" s="6">
        <v>0</v>
      </c>
      <c r="N11" s="6">
        <v>0</v>
      </c>
      <c r="O11" s="6" t="s">
        <v>29</v>
      </c>
      <c r="P11" s="153" t="s">
        <v>32</v>
      </c>
      <c r="Q11" s="191" t="s">
        <v>33</v>
      </c>
    </row>
    <row r="12" spans="2:17" ht="12.75" x14ac:dyDescent="0.2">
      <c r="B12" s="181"/>
      <c r="C12" s="181"/>
      <c r="D12" s="181"/>
      <c r="E12" s="181"/>
      <c r="F12" s="21">
        <v>84</v>
      </c>
      <c r="G12" s="15">
        <f t="shared" si="0"/>
        <v>0</v>
      </c>
      <c r="H12" s="21">
        <v>0</v>
      </c>
      <c r="I12" s="21">
        <v>0</v>
      </c>
      <c r="J12" s="6">
        <v>84</v>
      </c>
      <c r="K12" s="21">
        <v>0</v>
      </c>
      <c r="L12" s="21">
        <v>0</v>
      </c>
      <c r="M12" s="21">
        <v>0</v>
      </c>
      <c r="N12" s="21">
        <v>0</v>
      </c>
      <c r="O12" s="6" t="s">
        <v>29</v>
      </c>
      <c r="P12" s="48" t="s">
        <v>34</v>
      </c>
      <c r="Q12" s="181"/>
    </row>
    <row r="13" spans="2:17" ht="12.75" x14ac:dyDescent="0.2">
      <c r="B13" s="181"/>
      <c r="C13" s="181"/>
      <c r="D13" s="181"/>
      <c r="E13" s="181"/>
      <c r="F13" s="21">
        <v>84</v>
      </c>
      <c r="G13" s="15">
        <f t="shared" si="0"/>
        <v>0</v>
      </c>
      <c r="H13" s="21">
        <v>0</v>
      </c>
      <c r="I13" s="21">
        <v>0</v>
      </c>
      <c r="J13" s="21">
        <v>0</v>
      </c>
      <c r="K13" s="21">
        <v>84</v>
      </c>
      <c r="L13" s="21">
        <v>0</v>
      </c>
      <c r="M13" s="21">
        <v>0</v>
      </c>
      <c r="N13" s="21">
        <v>0</v>
      </c>
      <c r="O13" s="6" t="s">
        <v>35</v>
      </c>
      <c r="P13" s="48" t="s">
        <v>36</v>
      </c>
      <c r="Q13" s="181"/>
    </row>
    <row r="14" spans="2:17" ht="13.5" thickBot="1" x14ac:dyDescent="0.25">
      <c r="B14" s="181"/>
      <c r="C14" s="182"/>
      <c r="D14" s="182"/>
      <c r="E14" s="182"/>
      <c r="F14" s="22">
        <v>84</v>
      </c>
      <c r="G14" s="18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84</v>
      </c>
      <c r="M14" s="22">
        <v>0</v>
      </c>
      <c r="N14" s="22">
        <v>0</v>
      </c>
      <c r="O14" s="10" t="s">
        <v>37</v>
      </c>
      <c r="P14" s="45" t="s">
        <v>38</v>
      </c>
      <c r="Q14" s="187"/>
    </row>
    <row r="15" spans="2:17" ht="14.25" customHeight="1" x14ac:dyDescent="0.2">
      <c r="B15" s="181"/>
      <c r="C15" s="194">
        <v>220501094</v>
      </c>
      <c r="D15" s="180">
        <v>144</v>
      </c>
      <c r="E15" s="183" t="s">
        <v>39</v>
      </c>
      <c r="F15" s="15">
        <v>48</v>
      </c>
      <c r="G15" s="15">
        <f t="shared" si="0"/>
        <v>0</v>
      </c>
      <c r="H15" s="15">
        <v>0</v>
      </c>
      <c r="I15" s="15">
        <v>0</v>
      </c>
      <c r="J15" s="15">
        <v>48</v>
      </c>
      <c r="K15" s="15">
        <v>0</v>
      </c>
      <c r="L15" s="15">
        <v>0</v>
      </c>
      <c r="M15" s="15">
        <v>0</v>
      </c>
      <c r="N15" s="15">
        <v>0</v>
      </c>
      <c r="O15" s="15" t="s">
        <v>29</v>
      </c>
      <c r="P15" s="24" t="s">
        <v>40</v>
      </c>
      <c r="Q15" s="191" t="s">
        <v>33</v>
      </c>
    </row>
    <row r="16" spans="2:17" ht="14.25" customHeight="1" x14ac:dyDescent="0.2">
      <c r="B16" s="181"/>
      <c r="C16" s="181"/>
      <c r="D16" s="181"/>
      <c r="E16" s="181"/>
      <c r="F16" s="23">
        <v>48</v>
      </c>
      <c r="G16" s="15">
        <f t="shared" si="0"/>
        <v>0</v>
      </c>
      <c r="H16" s="23">
        <v>0</v>
      </c>
      <c r="I16" s="23">
        <v>0</v>
      </c>
      <c r="J16" s="23">
        <v>0</v>
      </c>
      <c r="K16" s="23">
        <v>48</v>
      </c>
      <c r="L16" s="23">
        <v>0</v>
      </c>
      <c r="M16" s="23">
        <v>0</v>
      </c>
      <c r="N16" s="23">
        <v>0</v>
      </c>
      <c r="O16" s="15" t="s">
        <v>35</v>
      </c>
      <c r="P16" s="24" t="s">
        <v>41</v>
      </c>
      <c r="Q16" s="181"/>
    </row>
    <row r="17" spans="2:17" ht="14.25" customHeight="1" thickBot="1" x14ac:dyDescent="0.25">
      <c r="B17" s="181"/>
      <c r="C17" s="182"/>
      <c r="D17" s="182"/>
      <c r="E17" s="182"/>
      <c r="F17" s="25">
        <v>48</v>
      </c>
      <c r="G17" s="18">
        <f t="shared" si="0"/>
        <v>0</v>
      </c>
      <c r="H17" s="25">
        <v>0</v>
      </c>
      <c r="I17" s="25">
        <v>0</v>
      </c>
      <c r="J17" s="25">
        <v>0</v>
      </c>
      <c r="K17" s="25">
        <v>0</v>
      </c>
      <c r="L17" s="25">
        <v>48</v>
      </c>
      <c r="M17" s="25">
        <v>0</v>
      </c>
      <c r="N17" s="25">
        <v>0</v>
      </c>
      <c r="O17" s="18" t="s">
        <v>37</v>
      </c>
      <c r="P17" s="19" t="s">
        <v>42</v>
      </c>
      <c r="Q17" s="182"/>
    </row>
    <row r="18" spans="2:17" ht="13.5" thickTop="1" x14ac:dyDescent="0.2">
      <c r="B18" s="181"/>
      <c r="C18" s="188">
        <v>220501096</v>
      </c>
      <c r="D18" s="189">
        <f>SUM(F18:F22)</f>
        <v>1008</v>
      </c>
      <c r="E18" s="190" t="s">
        <v>43</v>
      </c>
      <c r="F18" s="6">
        <v>140</v>
      </c>
      <c r="G18" s="6">
        <f t="shared" si="0"/>
        <v>0</v>
      </c>
      <c r="H18" s="164">
        <v>77</v>
      </c>
      <c r="I18" s="6">
        <v>0</v>
      </c>
      <c r="J18" s="6">
        <v>0</v>
      </c>
      <c r="K18" s="6">
        <v>0</v>
      </c>
      <c r="L18" s="6">
        <v>0</v>
      </c>
      <c r="M18" s="6">
        <v>31</v>
      </c>
      <c r="N18" s="6">
        <v>32</v>
      </c>
      <c r="O18" s="6" t="s">
        <v>44</v>
      </c>
      <c r="P18" s="157" t="s">
        <v>45</v>
      </c>
      <c r="Q18" s="192" t="s">
        <v>46</v>
      </c>
    </row>
    <row r="19" spans="2:17" ht="12.75" x14ac:dyDescent="0.2">
      <c r="B19" s="181"/>
      <c r="C19" s="181"/>
      <c r="D19" s="181"/>
      <c r="E19" s="181"/>
      <c r="F19" s="6">
        <v>150</v>
      </c>
      <c r="G19" s="6">
        <f t="shared" si="0"/>
        <v>0</v>
      </c>
      <c r="H19" s="6">
        <v>0</v>
      </c>
      <c r="I19" s="6">
        <v>0</v>
      </c>
      <c r="J19" s="6">
        <v>0</v>
      </c>
      <c r="K19" s="6">
        <v>50</v>
      </c>
      <c r="L19" s="6">
        <v>30</v>
      </c>
      <c r="M19" s="6">
        <v>30</v>
      </c>
      <c r="N19" s="6">
        <v>40</v>
      </c>
      <c r="O19" s="6" t="s">
        <v>44</v>
      </c>
      <c r="P19" s="158" t="s">
        <v>47</v>
      </c>
      <c r="Q19" s="181"/>
    </row>
    <row r="20" spans="2:17" ht="12.75" x14ac:dyDescent="0.2">
      <c r="B20" s="181"/>
      <c r="C20" s="181"/>
      <c r="D20" s="181"/>
      <c r="E20" s="181"/>
      <c r="F20" s="6">
        <v>210</v>
      </c>
      <c r="G20" s="6">
        <f t="shared" si="0"/>
        <v>0</v>
      </c>
      <c r="H20" s="6">
        <v>0</v>
      </c>
      <c r="I20" s="6">
        <v>70</v>
      </c>
      <c r="J20" s="6">
        <v>0</v>
      </c>
      <c r="K20" s="6">
        <v>0</v>
      </c>
      <c r="L20" s="6">
        <v>0</v>
      </c>
      <c r="M20" s="6">
        <v>45</v>
      </c>
      <c r="N20" s="6">
        <v>95</v>
      </c>
      <c r="O20" s="6" t="s">
        <v>44</v>
      </c>
      <c r="P20" s="159" t="s">
        <v>48</v>
      </c>
      <c r="Q20" s="181"/>
    </row>
    <row r="21" spans="2:17" ht="12.75" x14ac:dyDescent="0.2">
      <c r="B21" s="181"/>
      <c r="C21" s="181"/>
      <c r="D21" s="181"/>
      <c r="E21" s="181"/>
      <c r="F21" s="6">
        <v>368</v>
      </c>
      <c r="G21" s="6">
        <f t="shared" si="0"/>
        <v>0</v>
      </c>
      <c r="H21" s="6">
        <v>0</v>
      </c>
      <c r="I21" s="6">
        <v>77</v>
      </c>
      <c r="J21" s="6">
        <v>0</v>
      </c>
      <c r="K21" s="6">
        <v>56</v>
      </c>
      <c r="L21" s="6">
        <v>0</v>
      </c>
      <c r="M21" s="6">
        <v>92</v>
      </c>
      <c r="N21" s="6">
        <v>143</v>
      </c>
      <c r="O21" s="6" t="s">
        <v>44</v>
      </c>
      <c r="P21" s="160" t="s">
        <v>49</v>
      </c>
      <c r="Q21" s="181"/>
    </row>
    <row r="22" spans="2:17" ht="13.5" thickBot="1" x14ac:dyDescent="0.25">
      <c r="B22" s="181"/>
      <c r="C22" s="182"/>
      <c r="D22" s="182"/>
      <c r="E22" s="182"/>
      <c r="F22" s="10">
        <v>140</v>
      </c>
      <c r="G22" s="10">
        <f t="shared" si="0"/>
        <v>0</v>
      </c>
      <c r="H22" s="10">
        <v>0</v>
      </c>
      <c r="I22" s="10">
        <v>0</v>
      </c>
      <c r="J22" s="10">
        <v>0</v>
      </c>
      <c r="K22" s="10">
        <v>0</v>
      </c>
      <c r="L22" s="10">
        <v>76</v>
      </c>
      <c r="M22" s="10">
        <v>64</v>
      </c>
      <c r="N22" s="10">
        <v>0</v>
      </c>
      <c r="O22" s="10" t="s">
        <v>50</v>
      </c>
      <c r="P22" s="161" t="s">
        <v>51</v>
      </c>
      <c r="Q22" s="182"/>
    </row>
    <row r="23" spans="2:17" ht="12.75" x14ac:dyDescent="0.2">
      <c r="B23" s="181"/>
      <c r="C23" s="194">
        <v>220501098</v>
      </c>
      <c r="D23" s="180">
        <v>144</v>
      </c>
      <c r="E23" s="183" t="s">
        <v>52</v>
      </c>
      <c r="F23" s="15">
        <v>48</v>
      </c>
      <c r="G23" s="15">
        <f t="shared" si="0"/>
        <v>0</v>
      </c>
      <c r="H23" s="27">
        <v>0</v>
      </c>
      <c r="I23" s="27">
        <v>0</v>
      </c>
      <c r="J23" s="27">
        <v>0</v>
      </c>
      <c r="K23" s="27">
        <v>48</v>
      </c>
      <c r="L23" s="27">
        <v>0</v>
      </c>
      <c r="M23" s="27">
        <v>0</v>
      </c>
      <c r="N23" s="27">
        <v>0</v>
      </c>
      <c r="O23" s="15" t="s">
        <v>35</v>
      </c>
      <c r="P23" s="28" t="s">
        <v>53</v>
      </c>
      <c r="Q23" s="192" t="s">
        <v>46</v>
      </c>
    </row>
    <row r="24" spans="2:17" ht="12.75" x14ac:dyDescent="0.2">
      <c r="B24" s="181"/>
      <c r="C24" s="181"/>
      <c r="D24" s="181"/>
      <c r="E24" s="181"/>
      <c r="F24" s="23">
        <v>48</v>
      </c>
      <c r="G24" s="15">
        <f t="shared" si="0"/>
        <v>0</v>
      </c>
      <c r="H24" s="29">
        <v>0</v>
      </c>
      <c r="I24" s="29">
        <v>0</v>
      </c>
      <c r="J24" s="29">
        <v>0</v>
      </c>
      <c r="K24" s="29">
        <v>0</v>
      </c>
      <c r="L24" s="29">
        <v>48</v>
      </c>
      <c r="M24" s="29">
        <v>0</v>
      </c>
      <c r="N24" s="29">
        <v>0</v>
      </c>
      <c r="O24" s="15" t="s">
        <v>37</v>
      </c>
      <c r="P24" s="30" t="s">
        <v>54</v>
      </c>
      <c r="Q24" s="181"/>
    </row>
    <row r="25" spans="2:17" ht="12.75" x14ac:dyDescent="0.2">
      <c r="B25" s="181"/>
      <c r="C25" s="182"/>
      <c r="D25" s="182"/>
      <c r="E25" s="182"/>
      <c r="F25" s="25">
        <v>48</v>
      </c>
      <c r="G25" s="18">
        <f t="shared" si="0"/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48</v>
      </c>
      <c r="N25" s="31">
        <v>0</v>
      </c>
      <c r="O25" s="18" t="s">
        <v>50</v>
      </c>
      <c r="P25" s="32" t="s">
        <v>55</v>
      </c>
      <c r="Q25" s="187"/>
    </row>
    <row r="26" spans="2:17" ht="12.75" x14ac:dyDescent="0.2">
      <c r="B26" s="181"/>
      <c r="C26" s="188">
        <v>220501097</v>
      </c>
      <c r="D26" s="189">
        <v>144</v>
      </c>
      <c r="E26" s="190" t="s">
        <v>56</v>
      </c>
      <c r="F26" s="6">
        <v>36</v>
      </c>
      <c r="G26" s="15">
        <f t="shared" si="0"/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36</v>
      </c>
      <c r="O26" s="6" t="s">
        <v>44</v>
      </c>
      <c r="P26" s="7" t="s">
        <v>57</v>
      </c>
      <c r="Q26" s="200" t="s">
        <v>58</v>
      </c>
    </row>
    <row r="27" spans="2:17" ht="12.75" x14ac:dyDescent="0.2">
      <c r="B27" s="181"/>
      <c r="C27" s="181"/>
      <c r="D27" s="181"/>
      <c r="E27" s="181"/>
      <c r="F27" s="21">
        <v>36</v>
      </c>
      <c r="G27" s="15">
        <f t="shared" si="0"/>
        <v>0</v>
      </c>
      <c r="H27" s="21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36</v>
      </c>
      <c r="O27" s="6" t="s">
        <v>44</v>
      </c>
      <c r="P27" s="9" t="s">
        <v>59</v>
      </c>
      <c r="Q27" s="181"/>
    </row>
    <row r="28" spans="2:17" ht="12.75" x14ac:dyDescent="0.2">
      <c r="B28" s="181"/>
      <c r="C28" s="181"/>
      <c r="D28" s="181"/>
      <c r="E28" s="181"/>
      <c r="F28" s="21">
        <v>36</v>
      </c>
      <c r="G28" s="15">
        <f t="shared" si="0"/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36</v>
      </c>
      <c r="N28" s="6">
        <v>0</v>
      </c>
      <c r="O28" s="6" t="s">
        <v>50</v>
      </c>
      <c r="P28" s="7" t="s">
        <v>60</v>
      </c>
      <c r="Q28" s="181"/>
    </row>
    <row r="29" spans="2:17" ht="12.75" x14ac:dyDescent="0.2">
      <c r="B29" s="181"/>
      <c r="C29" s="182"/>
      <c r="D29" s="182"/>
      <c r="E29" s="182"/>
      <c r="F29" s="22">
        <v>36</v>
      </c>
      <c r="G29" s="18">
        <f t="shared" si="0"/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36</v>
      </c>
      <c r="N29" s="22">
        <v>0</v>
      </c>
      <c r="O29" s="6" t="s">
        <v>50</v>
      </c>
      <c r="P29" s="11" t="s">
        <v>61</v>
      </c>
      <c r="Q29" s="187"/>
    </row>
    <row r="30" spans="2:17" x14ac:dyDescent="0.25">
      <c r="B30" s="34"/>
      <c r="C30" s="34"/>
      <c r="D30" s="34"/>
      <c r="E30" s="35" t="s">
        <v>62</v>
      </c>
      <c r="F30" s="36">
        <f t="shared" ref="F30:N30" si="1">SUM(F3:F29)</f>
        <v>2208</v>
      </c>
      <c r="G30" s="36">
        <f t="shared" si="1"/>
        <v>0</v>
      </c>
      <c r="H30" s="36">
        <f t="shared" si="1"/>
        <v>298</v>
      </c>
      <c r="I30" s="36">
        <f t="shared" si="1"/>
        <v>288</v>
      </c>
      <c r="J30" s="36">
        <f t="shared" si="1"/>
        <v>286</v>
      </c>
      <c r="K30" s="36">
        <f t="shared" si="1"/>
        <v>286</v>
      </c>
      <c r="L30" s="36">
        <f t="shared" si="1"/>
        <v>286</v>
      </c>
      <c r="M30" s="36">
        <f t="shared" si="1"/>
        <v>382</v>
      </c>
      <c r="N30" s="36">
        <f t="shared" si="1"/>
        <v>382</v>
      </c>
      <c r="O30" s="36"/>
      <c r="P30" s="34"/>
      <c r="Q30" s="34"/>
    </row>
    <row r="31" spans="2:17" ht="13.5" thickTop="1" x14ac:dyDescent="0.2">
      <c r="H31" s="1"/>
      <c r="O31" s="1"/>
    </row>
    <row r="32" spans="2:17" ht="25.5" x14ac:dyDescent="0.2">
      <c r="B32" s="193" t="s">
        <v>63</v>
      </c>
      <c r="C32" s="194">
        <v>240202501</v>
      </c>
      <c r="D32" s="180">
        <v>384</v>
      </c>
      <c r="E32" s="183" t="s">
        <v>64</v>
      </c>
      <c r="F32" s="15">
        <v>48</v>
      </c>
      <c r="G32" s="15">
        <f t="shared" ref="G32:G78" si="2">F32-SUM(H32:N32)</f>
        <v>0</v>
      </c>
      <c r="H32" s="166">
        <v>48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 t="s">
        <v>17</v>
      </c>
      <c r="P32" s="167" t="s">
        <v>65</v>
      </c>
      <c r="Q32" s="195"/>
    </row>
    <row r="33" spans="2:17" ht="25.5" x14ac:dyDescent="0.2">
      <c r="B33" s="181"/>
      <c r="C33" s="181"/>
      <c r="D33" s="181"/>
      <c r="E33" s="181"/>
      <c r="F33" s="15">
        <v>48</v>
      </c>
      <c r="G33" s="15">
        <f t="shared" si="2"/>
        <v>0</v>
      </c>
      <c r="H33" s="15">
        <v>0</v>
      </c>
      <c r="I33" s="15">
        <v>0</v>
      </c>
      <c r="J33" s="15">
        <v>48</v>
      </c>
      <c r="K33" s="15">
        <v>0</v>
      </c>
      <c r="L33" s="15">
        <v>0</v>
      </c>
      <c r="M33" s="15">
        <v>0</v>
      </c>
      <c r="N33" s="15">
        <v>0</v>
      </c>
      <c r="O33" s="15" t="s">
        <v>29</v>
      </c>
      <c r="P33" s="151" t="s">
        <v>66</v>
      </c>
      <c r="Q33" s="181"/>
    </row>
    <row r="34" spans="2:17" ht="12.75" x14ac:dyDescent="0.2">
      <c r="B34" s="181"/>
      <c r="C34" s="181"/>
      <c r="D34" s="181"/>
      <c r="E34" s="181"/>
      <c r="F34" s="15">
        <v>48</v>
      </c>
      <c r="G34" s="15">
        <f t="shared" si="2"/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48</v>
      </c>
      <c r="O34" s="15" t="s">
        <v>44</v>
      </c>
      <c r="P34" s="37" t="s">
        <v>67</v>
      </c>
      <c r="Q34" s="181"/>
    </row>
    <row r="35" spans="2:17" ht="12.75" x14ac:dyDescent="0.2">
      <c r="B35" s="181"/>
      <c r="C35" s="181"/>
      <c r="D35" s="181"/>
      <c r="E35" s="181"/>
      <c r="F35" s="15">
        <v>48</v>
      </c>
      <c r="G35" s="15">
        <f t="shared" si="2"/>
        <v>0</v>
      </c>
      <c r="H35" s="15">
        <v>0</v>
      </c>
      <c r="I35" s="15">
        <v>0</v>
      </c>
      <c r="J35" s="15">
        <v>0</v>
      </c>
      <c r="K35" s="15">
        <v>48</v>
      </c>
      <c r="L35" s="15">
        <v>0</v>
      </c>
      <c r="M35" s="15">
        <v>0</v>
      </c>
      <c r="N35" s="15">
        <v>0</v>
      </c>
      <c r="O35" s="15" t="s">
        <v>35</v>
      </c>
      <c r="P35" s="38" t="s">
        <v>68</v>
      </c>
      <c r="Q35" s="181"/>
    </row>
    <row r="36" spans="2:17" ht="12.75" x14ac:dyDescent="0.2">
      <c r="B36" s="181"/>
      <c r="C36" s="181"/>
      <c r="D36" s="181"/>
      <c r="E36" s="181"/>
      <c r="F36" s="15">
        <f>48*2</f>
        <v>96</v>
      </c>
      <c r="G36" s="15">
        <f t="shared" si="2"/>
        <v>0</v>
      </c>
      <c r="H36" s="15">
        <v>0</v>
      </c>
      <c r="I36" s="15">
        <v>0</v>
      </c>
      <c r="J36" s="15">
        <v>0</v>
      </c>
      <c r="K36" s="15">
        <v>0</v>
      </c>
      <c r="L36" s="15">
        <v>48</v>
      </c>
      <c r="M36" s="15">
        <v>48</v>
      </c>
      <c r="N36" s="15">
        <v>0</v>
      </c>
      <c r="O36" s="15" t="s">
        <v>50</v>
      </c>
      <c r="P36" s="38" t="s">
        <v>69</v>
      </c>
      <c r="Q36" s="181"/>
    </row>
    <row r="37" spans="2:17" ht="13.5" thickBot="1" x14ac:dyDescent="0.25">
      <c r="B37" s="181"/>
      <c r="C37" s="182"/>
      <c r="D37" s="182"/>
      <c r="E37" s="182"/>
      <c r="F37" s="39">
        <v>48</v>
      </c>
      <c r="G37" s="39">
        <f t="shared" si="2"/>
        <v>0</v>
      </c>
      <c r="H37" s="39">
        <v>0</v>
      </c>
      <c r="I37" s="39">
        <v>48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18" t="s">
        <v>24</v>
      </c>
      <c r="P37" s="152" t="s">
        <v>70</v>
      </c>
      <c r="Q37" s="196"/>
    </row>
    <row r="38" spans="2:17" ht="17.25" thickTop="1" thickBot="1" x14ac:dyDescent="0.25">
      <c r="B38" s="181"/>
      <c r="C38" s="41">
        <v>240201530</v>
      </c>
      <c r="D38" s="42">
        <v>48</v>
      </c>
      <c r="E38" s="43" t="s">
        <v>71</v>
      </c>
      <c r="F38" s="10">
        <v>48</v>
      </c>
      <c r="G38" s="10">
        <f t="shared" si="2"/>
        <v>0</v>
      </c>
      <c r="H38" s="165">
        <v>48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44" t="s">
        <v>17</v>
      </c>
      <c r="P38" s="45" t="s">
        <v>72</v>
      </c>
      <c r="Q38" s="45"/>
    </row>
    <row r="39" spans="2:17" ht="13.5" thickTop="1" x14ac:dyDescent="0.2">
      <c r="B39" s="181"/>
      <c r="C39" s="194">
        <v>220501046</v>
      </c>
      <c r="D39" s="180">
        <v>48</v>
      </c>
      <c r="E39" s="183" t="s">
        <v>73</v>
      </c>
      <c r="F39" s="15">
        <f t="shared" ref="F39:F46" si="3">48/4</f>
        <v>12</v>
      </c>
      <c r="G39" s="15">
        <f t="shared" si="2"/>
        <v>0</v>
      </c>
      <c r="H39" s="166">
        <v>12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 t="s">
        <v>17</v>
      </c>
      <c r="P39" s="156" t="s">
        <v>74</v>
      </c>
      <c r="Q39" s="195"/>
    </row>
    <row r="40" spans="2:17" ht="12.75" x14ac:dyDescent="0.2">
      <c r="B40" s="181"/>
      <c r="C40" s="181"/>
      <c r="D40" s="181"/>
      <c r="E40" s="181"/>
      <c r="F40" s="15">
        <f t="shared" si="3"/>
        <v>12</v>
      </c>
      <c r="G40" s="15">
        <f t="shared" si="2"/>
        <v>0</v>
      </c>
      <c r="H40" s="166">
        <v>12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 t="s">
        <v>17</v>
      </c>
      <c r="P40" s="156" t="s">
        <v>75</v>
      </c>
      <c r="Q40" s="181"/>
    </row>
    <row r="41" spans="2:17" ht="12.75" x14ac:dyDescent="0.2">
      <c r="B41" s="181"/>
      <c r="C41" s="181"/>
      <c r="D41" s="181"/>
      <c r="E41" s="181"/>
      <c r="F41" s="15">
        <f t="shared" si="3"/>
        <v>12</v>
      </c>
      <c r="G41" s="15">
        <f t="shared" si="2"/>
        <v>0</v>
      </c>
      <c r="H41" s="166">
        <v>12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 t="s">
        <v>17</v>
      </c>
      <c r="P41" s="156" t="s">
        <v>76</v>
      </c>
      <c r="Q41" s="181"/>
    </row>
    <row r="42" spans="2:17" ht="13.5" thickBot="1" x14ac:dyDescent="0.25">
      <c r="B42" s="181"/>
      <c r="C42" s="182"/>
      <c r="D42" s="182"/>
      <c r="E42" s="182"/>
      <c r="F42" s="18">
        <f t="shared" si="3"/>
        <v>12</v>
      </c>
      <c r="G42" s="18">
        <f t="shared" si="2"/>
        <v>0</v>
      </c>
      <c r="H42" s="168">
        <v>12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 t="s">
        <v>17</v>
      </c>
      <c r="P42" s="152" t="s">
        <v>77</v>
      </c>
      <c r="Q42" s="197"/>
    </row>
    <row r="43" spans="2:17" ht="13.5" thickTop="1" x14ac:dyDescent="0.2">
      <c r="B43" s="181"/>
      <c r="C43" s="188">
        <v>240201528</v>
      </c>
      <c r="D43" s="189">
        <v>48</v>
      </c>
      <c r="E43" s="190" t="s">
        <v>78</v>
      </c>
      <c r="F43" s="6">
        <f t="shared" si="3"/>
        <v>12</v>
      </c>
      <c r="G43" s="15">
        <f t="shared" si="2"/>
        <v>0</v>
      </c>
      <c r="H43" s="164">
        <v>12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 t="s">
        <v>17</v>
      </c>
      <c r="P43" s="154" t="s">
        <v>79</v>
      </c>
      <c r="Q43" s="198"/>
    </row>
    <row r="44" spans="2:17" ht="12.75" x14ac:dyDescent="0.2">
      <c r="B44" s="181"/>
      <c r="C44" s="181"/>
      <c r="D44" s="181"/>
      <c r="E44" s="181"/>
      <c r="F44" s="6">
        <f t="shared" si="3"/>
        <v>12</v>
      </c>
      <c r="G44" s="15">
        <f t="shared" si="2"/>
        <v>0</v>
      </c>
      <c r="H44" s="169">
        <v>12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6" t="s">
        <v>17</v>
      </c>
      <c r="P44" s="154" t="s">
        <v>80</v>
      </c>
      <c r="Q44" s="181"/>
    </row>
    <row r="45" spans="2:17" ht="12.75" x14ac:dyDescent="0.2">
      <c r="B45" s="181"/>
      <c r="C45" s="181"/>
      <c r="D45" s="181"/>
      <c r="E45" s="181"/>
      <c r="F45" s="6">
        <f t="shared" si="3"/>
        <v>12</v>
      </c>
      <c r="G45" s="15">
        <f t="shared" si="2"/>
        <v>0</v>
      </c>
      <c r="H45" s="169">
        <v>12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6" t="s">
        <v>17</v>
      </c>
      <c r="P45" s="154" t="s">
        <v>81</v>
      </c>
      <c r="Q45" s="181"/>
    </row>
    <row r="46" spans="2:17" ht="13.5" thickBot="1" x14ac:dyDescent="0.25">
      <c r="B46" s="181"/>
      <c r="C46" s="182"/>
      <c r="D46" s="182"/>
      <c r="E46" s="182"/>
      <c r="F46" s="22">
        <f t="shared" si="3"/>
        <v>12</v>
      </c>
      <c r="G46" s="18">
        <f t="shared" si="2"/>
        <v>0</v>
      </c>
      <c r="H46" s="170">
        <v>12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44" t="s">
        <v>17</v>
      </c>
      <c r="P46" s="162" t="s">
        <v>82</v>
      </c>
      <c r="Q46" s="197"/>
    </row>
    <row r="47" spans="2:17" ht="13.5" thickTop="1" x14ac:dyDescent="0.2">
      <c r="B47" s="181"/>
      <c r="C47" s="194">
        <v>240201064</v>
      </c>
      <c r="D47" s="180">
        <v>48</v>
      </c>
      <c r="E47" s="183" t="s">
        <v>83</v>
      </c>
      <c r="F47" s="15">
        <v>12</v>
      </c>
      <c r="G47" s="15">
        <f t="shared" si="2"/>
        <v>0</v>
      </c>
      <c r="H47" s="15">
        <v>0</v>
      </c>
      <c r="I47" s="15">
        <v>12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 t="s">
        <v>24</v>
      </c>
      <c r="P47" s="156" t="s">
        <v>84</v>
      </c>
      <c r="Q47" s="195"/>
    </row>
    <row r="48" spans="2:17" ht="12.75" x14ac:dyDescent="0.2">
      <c r="B48" s="181"/>
      <c r="C48" s="181"/>
      <c r="D48" s="181"/>
      <c r="E48" s="181"/>
      <c r="F48" s="23">
        <v>12</v>
      </c>
      <c r="G48" s="15">
        <f t="shared" si="2"/>
        <v>0</v>
      </c>
      <c r="H48" s="23">
        <v>0</v>
      </c>
      <c r="I48" s="23">
        <v>12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15" t="s">
        <v>24</v>
      </c>
      <c r="P48" s="156" t="s">
        <v>85</v>
      </c>
      <c r="Q48" s="181"/>
    </row>
    <row r="49" spans="2:17" ht="12.75" x14ac:dyDescent="0.2">
      <c r="B49" s="181"/>
      <c r="C49" s="181"/>
      <c r="D49" s="181"/>
      <c r="E49" s="181"/>
      <c r="F49" s="46">
        <v>12</v>
      </c>
      <c r="G49" s="15">
        <f t="shared" si="2"/>
        <v>0</v>
      </c>
      <c r="H49" s="46">
        <v>0</v>
      </c>
      <c r="I49" s="46">
        <v>12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15" t="s">
        <v>24</v>
      </c>
      <c r="P49" s="156" t="s">
        <v>86</v>
      </c>
      <c r="Q49" s="181"/>
    </row>
    <row r="50" spans="2:17" ht="13.5" thickBot="1" x14ac:dyDescent="0.25">
      <c r="B50" s="181"/>
      <c r="C50" s="182"/>
      <c r="D50" s="182"/>
      <c r="E50" s="182"/>
      <c r="F50" s="25">
        <v>12</v>
      </c>
      <c r="G50" s="18">
        <f t="shared" si="2"/>
        <v>0</v>
      </c>
      <c r="H50" s="25">
        <v>0</v>
      </c>
      <c r="I50" s="25">
        <v>12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18" t="s">
        <v>24</v>
      </c>
      <c r="P50" s="152" t="s">
        <v>87</v>
      </c>
      <c r="Q50" s="197"/>
    </row>
    <row r="51" spans="2:17" ht="13.5" thickTop="1" x14ac:dyDescent="0.2">
      <c r="B51" s="181"/>
      <c r="C51" s="188">
        <v>220201501</v>
      </c>
      <c r="D51" s="189">
        <v>48</v>
      </c>
      <c r="E51" s="190" t="s">
        <v>88</v>
      </c>
      <c r="F51" s="6">
        <v>12</v>
      </c>
      <c r="G51" s="15">
        <f t="shared" si="2"/>
        <v>0</v>
      </c>
      <c r="H51" s="6">
        <v>0</v>
      </c>
      <c r="I51" s="6">
        <v>12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 t="s">
        <v>24</v>
      </c>
      <c r="P51" s="154" t="s">
        <v>89</v>
      </c>
      <c r="Q51" s="198"/>
    </row>
    <row r="52" spans="2:17" ht="12.75" x14ac:dyDescent="0.2">
      <c r="B52" s="181"/>
      <c r="C52" s="181"/>
      <c r="D52" s="181"/>
      <c r="E52" s="181"/>
      <c r="F52" s="21">
        <v>12</v>
      </c>
      <c r="G52" s="15">
        <f t="shared" si="2"/>
        <v>0</v>
      </c>
      <c r="H52" s="21">
        <v>0</v>
      </c>
      <c r="I52" s="21">
        <v>12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6" t="s">
        <v>24</v>
      </c>
      <c r="P52" s="154" t="s">
        <v>90</v>
      </c>
      <c r="Q52" s="181"/>
    </row>
    <row r="53" spans="2:17" ht="12.75" x14ac:dyDescent="0.2">
      <c r="B53" s="181"/>
      <c r="C53" s="181"/>
      <c r="D53" s="181"/>
      <c r="E53" s="181"/>
      <c r="F53" s="21">
        <v>12</v>
      </c>
      <c r="G53" s="15">
        <f t="shared" si="2"/>
        <v>0</v>
      </c>
      <c r="H53" s="21">
        <v>0</v>
      </c>
      <c r="I53" s="21">
        <v>12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6" t="s">
        <v>24</v>
      </c>
      <c r="P53" s="154" t="s">
        <v>91</v>
      </c>
      <c r="Q53" s="181"/>
    </row>
    <row r="54" spans="2:17" ht="13.5" thickBot="1" x14ac:dyDescent="0.25">
      <c r="B54" s="181"/>
      <c r="C54" s="182"/>
      <c r="D54" s="182"/>
      <c r="E54" s="182"/>
      <c r="F54" s="22">
        <v>12</v>
      </c>
      <c r="G54" s="18">
        <f t="shared" si="2"/>
        <v>0</v>
      </c>
      <c r="H54" s="22">
        <v>0</v>
      </c>
      <c r="I54" s="22">
        <v>12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44" t="s">
        <v>24</v>
      </c>
      <c r="P54" s="162" t="s">
        <v>92</v>
      </c>
      <c r="Q54" s="197"/>
    </row>
    <row r="55" spans="2:17" ht="13.5" thickTop="1" x14ac:dyDescent="0.2">
      <c r="B55" s="181"/>
      <c r="C55" s="194">
        <v>240201524</v>
      </c>
      <c r="D55" s="180">
        <v>48</v>
      </c>
      <c r="E55" s="183" t="s">
        <v>93</v>
      </c>
      <c r="F55" s="15">
        <v>12</v>
      </c>
      <c r="G55" s="15">
        <f t="shared" si="2"/>
        <v>0</v>
      </c>
      <c r="H55" s="15">
        <v>0</v>
      </c>
      <c r="I55" s="15">
        <v>0</v>
      </c>
      <c r="J55" s="15">
        <v>12</v>
      </c>
      <c r="K55" s="15">
        <v>0</v>
      </c>
      <c r="L55" s="15">
        <v>0</v>
      </c>
      <c r="M55" s="15">
        <v>0</v>
      </c>
      <c r="N55" s="15">
        <v>0</v>
      </c>
      <c r="O55" s="15" t="s">
        <v>29</v>
      </c>
      <c r="P55" s="24" t="s">
        <v>94</v>
      </c>
      <c r="Q55" s="195"/>
    </row>
    <row r="56" spans="2:17" ht="12.75" x14ac:dyDescent="0.2">
      <c r="B56" s="181"/>
      <c r="C56" s="181"/>
      <c r="D56" s="181"/>
      <c r="E56" s="181"/>
      <c r="F56" s="15">
        <v>12</v>
      </c>
      <c r="G56" s="15">
        <f t="shared" si="2"/>
        <v>0</v>
      </c>
      <c r="H56" s="15"/>
      <c r="I56" s="15"/>
      <c r="J56" s="15">
        <v>12</v>
      </c>
      <c r="K56" s="15"/>
      <c r="L56" s="15"/>
      <c r="M56" s="15"/>
      <c r="N56" s="15"/>
      <c r="O56" s="15" t="s">
        <v>29</v>
      </c>
      <c r="P56" s="24" t="s">
        <v>95</v>
      </c>
      <c r="Q56" s="181"/>
    </row>
    <row r="57" spans="2:17" ht="12.75" x14ac:dyDescent="0.2">
      <c r="B57" s="181"/>
      <c r="C57" s="181"/>
      <c r="D57" s="181"/>
      <c r="E57" s="181"/>
      <c r="F57" s="23">
        <v>12</v>
      </c>
      <c r="G57" s="15">
        <f t="shared" si="2"/>
        <v>0</v>
      </c>
      <c r="H57" s="23">
        <v>0</v>
      </c>
      <c r="I57" s="23">
        <v>0</v>
      </c>
      <c r="J57" s="23">
        <v>12</v>
      </c>
      <c r="K57" s="23">
        <v>0</v>
      </c>
      <c r="L57" s="23">
        <v>0</v>
      </c>
      <c r="M57" s="23">
        <v>0</v>
      </c>
      <c r="N57" s="23">
        <v>0</v>
      </c>
      <c r="O57" s="15" t="s">
        <v>29</v>
      </c>
      <c r="P57" s="24" t="s">
        <v>96</v>
      </c>
      <c r="Q57" s="181"/>
    </row>
    <row r="58" spans="2:17" ht="12.75" x14ac:dyDescent="0.2">
      <c r="B58" s="181"/>
      <c r="C58" s="182"/>
      <c r="D58" s="182"/>
      <c r="E58" s="182"/>
      <c r="F58" s="25">
        <v>12</v>
      </c>
      <c r="G58" s="18">
        <f t="shared" si="2"/>
        <v>0</v>
      </c>
      <c r="H58" s="25">
        <v>0</v>
      </c>
      <c r="I58" s="25">
        <v>0</v>
      </c>
      <c r="J58" s="25">
        <v>12</v>
      </c>
      <c r="K58" s="25">
        <v>0</v>
      </c>
      <c r="L58" s="25">
        <v>0</v>
      </c>
      <c r="M58" s="25">
        <v>0</v>
      </c>
      <c r="N58" s="25">
        <v>0</v>
      </c>
      <c r="O58" s="18" t="s">
        <v>29</v>
      </c>
      <c r="P58" s="19" t="s">
        <v>97</v>
      </c>
      <c r="Q58" s="197"/>
    </row>
    <row r="59" spans="2:17" ht="12.75" x14ac:dyDescent="0.2">
      <c r="B59" s="181"/>
      <c r="C59" s="188">
        <v>240201526</v>
      </c>
      <c r="D59" s="189">
        <v>48</v>
      </c>
      <c r="E59" s="190" t="s">
        <v>98</v>
      </c>
      <c r="F59" s="6">
        <v>12</v>
      </c>
      <c r="G59" s="15">
        <f t="shared" si="2"/>
        <v>0</v>
      </c>
      <c r="H59" s="6">
        <v>0</v>
      </c>
      <c r="I59" s="6">
        <v>0</v>
      </c>
      <c r="J59" s="6">
        <v>12</v>
      </c>
      <c r="K59" s="6">
        <v>0</v>
      </c>
      <c r="L59" s="6">
        <v>0</v>
      </c>
      <c r="M59" s="6">
        <v>0</v>
      </c>
      <c r="N59" s="6">
        <v>0</v>
      </c>
      <c r="O59" s="6" t="s">
        <v>29</v>
      </c>
      <c r="P59" s="7" t="s">
        <v>99</v>
      </c>
      <c r="Q59" s="198"/>
    </row>
    <row r="60" spans="2:17" ht="12.75" x14ac:dyDescent="0.2">
      <c r="B60" s="181"/>
      <c r="C60" s="181"/>
      <c r="D60" s="181"/>
      <c r="E60" s="181"/>
      <c r="F60" s="21">
        <v>12</v>
      </c>
      <c r="G60" s="15">
        <f t="shared" si="2"/>
        <v>0</v>
      </c>
      <c r="H60" s="21">
        <v>0</v>
      </c>
      <c r="I60" s="21">
        <v>0</v>
      </c>
      <c r="J60" s="21">
        <v>12</v>
      </c>
      <c r="K60" s="21">
        <v>0</v>
      </c>
      <c r="L60" s="21">
        <v>0</v>
      </c>
      <c r="M60" s="21">
        <v>0</v>
      </c>
      <c r="N60" s="21">
        <v>0</v>
      </c>
      <c r="O60" s="6" t="s">
        <v>29</v>
      </c>
      <c r="P60" s="7" t="s">
        <v>100</v>
      </c>
      <c r="Q60" s="181"/>
    </row>
    <row r="61" spans="2:17" ht="12.75" x14ac:dyDescent="0.2">
      <c r="B61" s="181"/>
      <c r="C61" s="181"/>
      <c r="D61" s="181"/>
      <c r="E61" s="181"/>
      <c r="F61" s="21">
        <v>12</v>
      </c>
      <c r="G61" s="15">
        <f t="shared" si="2"/>
        <v>0</v>
      </c>
      <c r="H61" s="21">
        <v>0</v>
      </c>
      <c r="I61" s="21">
        <v>0</v>
      </c>
      <c r="J61" s="21">
        <v>12</v>
      </c>
      <c r="K61" s="21">
        <v>0</v>
      </c>
      <c r="L61" s="21">
        <v>0</v>
      </c>
      <c r="M61" s="21">
        <v>0</v>
      </c>
      <c r="N61" s="21">
        <v>0</v>
      </c>
      <c r="O61" s="6" t="s">
        <v>29</v>
      </c>
      <c r="P61" s="48" t="s">
        <v>101</v>
      </c>
      <c r="Q61" s="181"/>
    </row>
    <row r="62" spans="2:17" ht="12.75" x14ac:dyDescent="0.2">
      <c r="B62" s="181"/>
      <c r="C62" s="182"/>
      <c r="D62" s="182"/>
      <c r="E62" s="182"/>
      <c r="F62" s="49">
        <v>12</v>
      </c>
      <c r="G62" s="50">
        <f t="shared" si="2"/>
        <v>0</v>
      </c>
      <c r="H62" s="49">
        <v>0</v>
      </c>
      <c r="I62" s="49">
        <v>0</v>
      </c>
      <c r="J62" s="49">
        <v>12</v>
      </c>
      <c r="K62" s="49">
        <v>0</v>
      </c>
      <c r="L62" s="49">
        <v>0</v>
      </c>
      <c r="M62" s="49">
        <v>0</v>
      </c>
      <c r="N62" s="49">
        <v>0</v>
      </c>
      <c r="O62" s="44" t="s">
        <v>29</v>
      </c>
      <c r="P62" s="51" t="s">
        <v>102</v>
      </c>
      <c r="Q62" s="197"/>
    </row>
    <row r="63" spans="2:17" ht="12.75" x14ac:dyDescent="0.2">
      <c r="B63" s="181"/>
      <c r="C63" s="201">
        <v>220601501</v>
      </c>
      <c r="D63" s="204">
        <v>48</v>
      </c>
      <c r="E63" s="206" t="s">
        <v>103</v>
      </c>
      <c r="F63" s="52">
        <v>12</v>
      </c>
      <c r="G63" s="52">
        <f t="shared" si="2"/>
        <v>0</v>
      </c>
      <c r="H63" s="52">
        <v>0</v>
      </c>
      <c r="I63" s="52">
        <v>0</v>
      </c>
      <c r="J63" s="52">
        <v>0</v>
      </c>
      <c r="K63" s="52">
        <v>12</v>
      </c>
      <c r="L63" s="52">
        <v>0</v>
      </c>
      <c r="M63" s="52">
        <v>0</v>
      </c>
      <c r="N63" s="53">
        <v>0</v>
      </c>
      <c r="O63" s="15" t="s">
        <v>35</v>
      </c>
      <c r="P63" s="54" t="s">
        <v>104</v>
      </c>
      <c r="Q63" s="195"/>
    </row>
    <row r="64" spans="2:17" ht="12.75" x14ac:dyDescent="0.2">
      <c r="B64" s="181"/>
      <c r="C64" s="202"/>
      <c r="D64" s="181"/>
      <c r="E64" s="181"/>
      <c r="F64" s="46">
        <v>12</v>
      </c>
      <c r="G64" s="50">
        <f t="shared" si="2"/>
        <v>0</v>
      </c>
      <c r="H64" s="46">
        <v>0</v>
      </c>
      <c r="I64" s="46">
        <v>0</v>
      </c>
      <c r="J64" s="46">
        <v>0</v>
      </c>
      <c r="K64" s="46">
        <v>12</v>
      </c>
      <c r="L64" s="46">
        <v>0</v>
      </c>
      <c r="M64" s="46">
        <v>0</v>
      </c>
      <c r="N64" s="50">
        <v>0</v>
      </c>
      <c r="O64" s="15" t="s">
        <v>35</v>
      </c>
      <c r="P64" s="16" t="s">
        <v>105</v>
      </c>
      <c r="Q64" s="181"/>
    </row>
    <row r="65" spans="2:17" ht="12.75" x14ac:dyDescent="0.2">
      <c r="B65" s="181"/>
      <c r="C65" s="202"/>
      <c r="D65" s="181"/>
      <c r="E65" s="181"/>
      <c r="F65" s="50">
        <v>12</v>
      </c>
      <c r="G65" s="50">
        <f t="shared" si="2"/>
        <v>0</v>
      </c>
      <c r="H65" s="50">
        <v>0</v>
      </c>
      <c r="I65" s="50">
        <v>0</v>
      </c>
      <c r="J65" s="50">
        <v>0</v>
      </c>
      <c r="K65" s="50">
        <v>12</v>
      </c>
      <c r="L65" s="50">
        <v>0</v>
      </c>
      <c r="M65" s="50">
        <v>0</v>
      </c>
      <c r="N65" s="50">
        <v>0</v>
      </c>
      <c r="O65" s="15" t="s">
        <v>35</v>
      </c>
      <c r="P65" s="47" t="s">
        <v>106</v>
      </c>
      <c r="Q65" s="181"/>
    </row>
    <row r="66" spans="2:17" ht="12.75" x14ac:dyDescent="0.2">
      <c r="B66" s="181"/>
      <c r="C66" s="203"/>
      <c r="D66" s="205"/>
      <c r="E66" s="205"/>
      <c r="F66" s="55">
        <v>12</v>
      </c>
      <c r="G66" s="55">
        <f t="shared" si="2"/>
        <v>0</v>
      </c>
      <c r="H66" s="55">
        <v>0</v>
      </c>
      <c r="I66" s="55">
        <v>0</v>
      </c>
      <c r="J66" s="55">
        <v>0</v>
      </c>
      <c r="K66" s="55">
        <v>12</v>
      </c>
      <c r="L66" s="55">
        <v>0</v>
      </c>
      <c r="M66" s="55">
        <v>0</v>
      </c>
      <c r="N66" s="55">
        <v>0</v>
      </c>
      <c r="O66" s="18" t="s">
        <v>35</v>
      </c>
      <c r="P66" s="56" t="s">
        <v>107</v>
      </c>
      <c r="Q66" s="197"/>
    </row>
    <row r="67" spans="2:17" ht="12.75" x14ac:dyDescent="0.2">
      <c r="B67" s="181"/>
      <c r="C67" s="188">
        <v>230101507</v>
      </c>
      <c r="D67" s="189">
        <v>48</v>
      </c>
      <c r="E67" s="190" t="s">
        <v>108</v>
      </c>
      <c r="F67" s="6">
        <v>12</v>
      </c>
      <c r="G67" s="15">
        <f t="shared" si="2"/>
        <v>0</v>
      </c>
      <c r="H67" s="6">
        <v>0</v>
      </c>
      <c r="I67" s="6">
        <v>0</v>
      </c>
      <c r="J67" s="6">
        <v>0</v>
      </c>
      <c r="K67" s="6">
        <v>12</v>
      </c>
      <c r="L67" s="6">
        <v>0</v>
      </c>
      <c r="M67" s="6">
        <v>0</v>
      </c>
      <c r="N67" s="6">
        <v>0</v>
      </c>
      <c r="O67" s="6" t="s">
        <v>35</v>
      </c>
      <c r="P67" s="7" t="s">
        <v>109</v>
      </c>
      <c r="Q67" s="198"/>
    </row>
    <row r="68" spans="2:17" ht="12.75" x14ac:dyDescent="0.2">
      <c r="B68" s="181"/>
      <c r="C68" s="181"/>
      <c r="D68" s="181"/>
      <c r="E68" s="181"/>
      <c r="F68" s="21">
        <v>12</v>
      </c>
      <c r="G68" s="15">
        <f t="shared" si="2"/>
        <v>0</v>
      </c>
      <c r="H68" s="21">
        <v>0</v>
      </c>
      <c r="I68" s="21">
        <v>0</v>
      </c>
      <c r="J68" s="21">
        <v>0</v>
      </c>
      <c r="K68" s="21">
        <v>12</v>
      </c>
      <c r="L68" s="21">
        <v>0</v>
      </c>
      <c r="M68" s="21">
        <v>0</v>
      </c>
      <c r="N68" s="21">
        <v>0</v>
      </c>
      <c r="O68" s="6" t="s">
        <v>35</v>
      </c>
      <c r="P68" s="7" t="s">
        <v>110</v>
      </c>
      <c r="Q68" s="181"/>
    </row>
    <row r="69" spans="2:17" ht="12.75" x14ac:dyDescent="0.2">
      <c r="B69" s="181"/>
      <c r="C69" s="181"/>
      <c r="D69" s="181"/>
      <c r="E69" s="181"/>
      <c r="F69" s="21">
        <v>12</v>
      </c>
      <c r="G69" s="15">
        <f t="shared" si="2"/>
        <v>0</v>
      </c>
      <c r="H69" s="21">
        <v>0</v>
      </c>
      <c r="I69" s="21">
        <v>0</v>
      </c>
      <c r="J69" s="21">
        <v>0</v>
      </c>
      <c r="K69" s="21">
        <v>12</v>
      </c>
      <c r="L69" s="21">
        <v>0</v>
      </c>
      <c r="M69" s="21">
        <v>0</v>
      </c>
      <c r="N69" s="21">
        <v>0</v>
      </c>
      <c r="O69" s="6" t="s">
        <v>35</v>
      </c>
      <c r="P69" s="7" t="s">
        <v>111</v>
      </c>
      <c r="Q69" s="181"/>
    </row>
    <row r="70" spans="2:17" ht="12.75" x14ac:dyDescent="0.2">
      <c r="B70" s="181"/>
      <c r="C70" s="182"/>
      <c r="D70" s="182"/>
      <c r="E70" s="182"/>
      <c r="F70" s="49">
        <v>12</v>
      </c>
      <c r="G70" s="50">
        <f t="shared" si="2"/>
        <v>0</v>
      </c>
      <c r="H70" s="49">
        <v>0</v>
      </c>
      <c r="I70" s="49">
        <v>0</v>
      </c>
      <c r="J70" s="49">
        <v>0</v>
      </c>
      <c r="K70" s="49">
        <v>12</v>
      </c>
      <c r="L70" s="49">
        <v>0</v>
      </c>
      <c r="M70" s="49">
        <v>0</v>
      </c>
      <c r="N70" s="49">
        <v>0</v>
      </c>
      <c r="O70" s="44" t="s">
        <v>35</v>
      </c>
      <c r="P70" s="48" t="s">
        <v>112</v>
      </c>
      <c r="Q70" s="197"/>
    </row>
    <row r="71" spans="2:17" ht="12.75" x14ac:dyDescent="0.2">
      <c r="B71" s="181"/>
      <c r="C71" s="201">
        <v>240201529</v>
      </c>
      <c r="D71" s="204">
        <v>48</v>
      </c>
      <c r="E71" s="206" t="s">
        <v>113</v>
      </c>
      <c r="F71" s="52">
        <v>12</v>
      </c>
      <c r="G71" s="52">
        <f t="shared" si="2"/>
        <v>0</v>
      </c>
      <c r="H71" s="52">
        <v>0</v>
      </c>
      <c r="I71" s="52">
        <v>0</v>
      </c>
      <c r="J71" s="52">
        <v>0</v>
      </c>
      <c r="K71" s="52">
        <v>0</v>
      </c>
      <c r="L71" s="52">
        <v>12</v>
      </c>
      <c r="M71" s="52">
        <v>0</v>
      </c>
      <c r="N71" s="52">
        <v>0</v>
      </c>
      <c r="O71" s="15" t="s">
        <v>37</v>
      </c>
      <c r="P71" s="54" t="s">
        <v>114</v>
      </c>
      <c r="Q71" s="195"/>
    </row>
    <row r="72" spans="2:17" ht="12.75" x14ac:dyDescent="0.2">
      <c r="B72" s="181"/>
      <c r="C72" s="202"/>
      <c r="D72" s="181"/>
      <c r="E72" s="181"/>
      <c r="F72" s="15">
        <v>12</v>
      </c>
      <c r="G72" s="15">
        <f t="shared" si="2"/>
        <v>0</v>
      </c>
      <c r="H72" s="15">
        <v>0</v>
      </c>
      <c r="I72" s="15">
        <v>0</v>
      </c>
      <c r="J72" s="15">
        <v>0</v>
      </c>
      <c r="K72" s="15">
        <v>0</v>
      </c>
      <c r="L72" s="15">
        <v>12</v>
      </c>
      <c r="M72" s="15">
        <v>0</v>
      </c>
      <c r="N72" s="15">
        <v>0</v>
      </c>
      <c r="O72" s="15" t="s">
        <v>37</v>
      </c>
      <c r="P72" s="16" t="s">
        <v>115</v>
      </c>
      <c r="Q72" s="181"/>
    </row>
    <row r="73" spans="2:17" ht="12.75" x14ac:dyDescent="0.2">
      <c r="B73" s="181"/>
      <c r="C73" s="202"/>
      <c r="D73" s="181"/>
      <c r="E73" s="181"/>
      <c r="F73" s="15">
        <v>12</v>
      </c>
      <c r="G73" s="15">
        <f t="shared" si="2"/>
        <v>0</v>
      </c>
      <c r="H73" s="15">
        <v>0</v>
      </c>
      <c r="I73" s="15">
        <v>0</v>
      </c>
      <c r="J73" s="15">
        <v>0</v>
      </c>
      <c r="K73" s="15">
        <v>0</v>
      </c>
      <c r="L73" s="15">
        <v>12</v>
      </c>
      <c r="M73" s="15">
        <v>0</v>
      </c>
      <c r="N73" s="15">
        <v>0</v>
      </c>
      <c r="O73" s="15" t="s">
        <v>37</v>
      </c>
      <c r="P73" s="16" t="s">
        <v>116</v>
      </c>
      <c r="Q73" s="181"/>
    </row>
    <row r="74" spans="2:17" ht="12.75" x14ac:dyDescent="0.2">
      <c r="B74" s="181"/>
      <c r="C74" s="203"/>
      <c r="D74" s="205"/>
      <c r="E74" s="205"/>
      <c r="F74" s="55">
        <v>12</v>
      </c>
      <c r="G74" s="55">
        <f t="shared" si="2"/>
        <v>0</v>
      </c>
      <c r="H74" s="55">
        <v>0</v>
      </c>
      <c r="I74" s="55">
        <v>0</v>
      </c>
      <c r="J74" s="55">
        <v>0</v>
      </c>
      <c r="K74" s="55">
        <v>0</v>
      </c>
      <c r="L74" s="55">
        <v>12</v>
      </c>
      <c r="M74" s="55">
        <v>0</v>
      </c>
      <c r="N74" s="55">
        <v>0</v>
      </c>
      <c r="O74" s="18" t="s">
        <v>37</v>
      </c>
      <c r="P74" s="56" t="s">
        <v>117</v>
      </c>
      <c r="Q74" s="197"/>
    </row>
    <row r="75" spans="2:17" ht="12.75" x14ac:dyDescent="0.2">
      <c r="B75" s="181"/>
      <c r="C75" s="188">
        <v>210201501</v>
      </c>
      <c r="D75" s="189">
        <v>48</v>
      </c>
      <c r="E75" s="190" t="s">
        <v>118</v>
      </c>
      <c r="F75" s="6">
        <v>12</v>
      </c>
      <c r="G75" s="15">
        <f t="shared" si="2"/>
        <v>0</v>
      </c>
      <c r="H75" s="6">
        <v>0</v>
      </c>
      <c r="I75" s="6">
        <v>0</v>
      </c>
      <c r="J75" s="6">
        <v>0</v>
      </c>
      <c r="K75" s="6">
        <v>0</v>
      </c>
      <c r="L75" s="6">
        <v>12</v>
      </c>
      <c r="M75" s="6">
        <v>0</v>
      </c>
      <c r="N75" s="6">
        <v>0</v>
      </c>
      <c r="O75" s="6" t="s">
        <v>37</v>
      </c>
      <c r="P75" s="7" t="s">
        <v>119</v>
      </c>
      <c r="Q75" s="198"/>
    </row>
    <row r="76" spans="2:17" ht="12.75" x14ac:dyDescent="0.2">
      <c r="B76" s="181"/>
      <c r="C76" s="181"/>
      <c r="D76" s="181"/>
      <c r="E76" s="181"/>
      <c r="F76" s="21">
        <v>12</v>
      </c>
      <c r="G76" s="15">
        <f t="shared" si="2"/>
        <v>0</v>
      </c>
      <c r="H76" s="21">
        <v>0</v>
      </c>
      <c r="I76" s="21">
        <v>0</v>
      </c>
      <c r="J76" s="21">
        <v>0</v>
      </c>
      <c r="K76" s="21">
        <v>0</v>
      </c>
      <c r="L76" s="21">
        <v>12</v>
      </c>
      <c r="M76" s="21">
        <v>0</v>
      </c>
      <c r="N76" s="21">
        <v>0</v>
      </c>
      <c r="O76" s="6" t="s">
        <v>37</v>
      </c>
      <c r="P76" s="7" t="s">
        <v>120</v>
      </c>
      <c r="Q76" s="181"/>
    </row>
    <row r="77" spans="2:17" ht="12.75" x14ac:dyDescent="0.2">
      <c r="B77" s="181"/>
      <c r="C77" s="181"/>
      <c r="D77" s="181"/>
      <c r="E77" s="181"/>
      <c r="F77" s="21">
        <v>12</v>
      </c>
      <c r="G77" s="15">
        <f t="shared" si="2"/>
        <v>0</v>
      </c>
      <c r="H77" s="21">
        <v>0</v>
      </c>
      <c r="I77" s="21">
        <v>0</v>
      </c>
      <c r="J77" s="21">
        <v>0</v>
      </c>
      <c r="K77" s="21">
        <v>0</v>
      </c>
      <c r="L77" s="21">
        <v>12</v>
      </c>
      <c r="M77" s="21">
        <v>0</v>
      </c>
      <c r="N77" s="21">
        <v>0</v>
      </c>
      <c r="O77" s="6" t="s">
        <v>37</v>
      </c>
      <c r="P77" s="7" t="s">
        <v>121</v>
      </c>
      <c r="Q77" s="181"/>
    </row>
    <row r="78" spans="2:17" ht="30" customHeight="1" thickBot="1" x14ac:dyDescent="0.25">
      <c r="B78" s="181"/>
      <c r="C78" s="182"/>
      <c r="D78" s="182"/>
      <c r="E78" s="182"/>
      <c r="F78" s="22">
        <v>12</v>
      </c>
      <c r="G78" s="18">
        <f t="shared" si="2"/>
        <v>0</v>
      </c>
      <c r="H78" s="22">
        <v>0</v>
      </c>
      <c r="I78" s="22">
        <v>0</v>
      </c>
      <c r="J78" s="22">
        <v>0</v>
      </c>
      <c r="K78" s="22">
        <v>0</v>
      </c>
      <c r="L78" s="22">
        <v>12</v>
      </c>
      <c r="M78" s="22">
        <v>0</v>
      </c>
      <c r="N78" s="22">
        <v>0</v>
      </c>
      <c r="O78" s="44" t="s">
        <v>37</v>
      </c>
      <c r="P78" s="163" t="s">
        <v>122</v>
      </c>
      <c r="Q78" s="197"/>
    </row>
    <row r="79" spans="2:17" ht="14.25" thickTop="1" thickBot="1" x14ac:dyDescent="0.25">
      <c r="B79" s="34"/>
      <c r="C79" s="34"/>
      <c r="D79" s="34"/>
      <c r="E79" s="57" t="s">
        <v>123</v>
      </c>
      <c r="F79" s="58">
        <f t="shared" ref="F79:N79" si="4">SUM(F32:F78)</f>
        <v>864</v>
      </c>
      <c r="G79" s="58">
        <f t="shared" si="4"/>
        <v>0</v>
      </c>
      <c r="H79" s="58">
        <f t="shared" si="4"/>
        <v>192</v>
      </c>
      <c r="I79" s="58">
        <f t="shared" si="4"/>
        <v>144</v>
      </c>
      <c r="J79" s="58">
        <f t="shared" si="4"/>
        <v>144</v>
      </c>
      <c r="K79" s="58">
        <f t="shared" si="4"/>
        <v>144</v>
      </c>
      <c r="L79" s="58">
        <f t="shared" si="4"/>
        <v>144</v>
      </c>
      <c r="M79" s="58">
        <f t="shared" si="4"/>
        <v>48</v>
      </c>
      <c r="N79" s="58">
        <f t="shared" si="4"/>
        <v>48</v>
      </c>
      <c r="O79" s="58"/>
      <c r="P79" s="58"/>
      <c r="Q79" s="58"/>
    </row>
    <row r="80" spans="2:17" ht="12.75" x14ac:dyDescent="0.2">
      <c r="O80" s="1"/>
    </row>
    <row r="81" spans="2:17" ht="47.25" x14ac:dyDescent="0.2">
      <c r="C81" s="41">
        <v>999999999</v>
      </c>
      <c r="D81" s="42">
        <v>864</v>
      </c>
      <c r="E81" s="43" t="s">
        <v>124</v>
      </c>
      <c r="F81" s="6">
        <v>864</v>
      </c>
      <c r="G81" s="15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/>
      <c r="P81" s="7" t="s">
        <v>125</v>
      </c>
      <c r="Q81" s="9"/>
    </row>
    <row r="82" spans="2:17" ht="12.75" x14ac:dyDescent="0.2">
      <c r="B82" s="59"/>
      <c r="C82" s="34"/>
      <c r="D82" s="34"/>
      <c r="E82" s="57" t="s">
        <v>126</v>
      </c>
      <c r="F82" s="58">
        <f>F81</f>
        <v>864</v>
      </c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</row>
    <row r="83" spans="2:17" ht="12.75" x14ac:dyDescent="0.2">
      <c r="O83" s="1"/>
    </row>
    <row r="84" spans="2:17" ht="28.5" customHeight="1" x14ac:dyDescent="0.2">
      <c r="C84" s="207" t="s">
        <v>127</v>
      </c>
      <c r="D84" s="182"/>
      <c r="E84" s="182"/>
      <c r="F84" s="60">
        <f>F82+F79+F30</f>
        <v>3936</v>
      </c>
      <c r="G84" s="60"/>
      <c r="H84" s="60">
        <f t="shared" ref="H84:N84" si="5">SUM(H3:H29,H32:H78)</f>
        <v>490</v>
      </c>
      <c r="I84" s="60">
        <f t="shared" si="5"/>
        <v>432</v>
      </c>
      <c r="J84" s="60">
        <f t="shared" si="5"/>
        <v>430</v>
      </c>
      <c r="K84" s="60">
        <f t="shared" si="5"/>
        <v>430</v>
      </c>
      <c r="L84" s="60">
        <f t="shared" si="5"/>
        <v>430</v>
      </c>
      <c r="M84" s="60">
        <f t="shared" si="5"/>
        <v>430</v>
      </c>
      <c r="N84" s="60">
        <f t="shared" si="5"/>
        <v>430</v>
      </c>
      <c r="O84" s="61"/>
    </row>
    <row r="85" spans="2:17" ht="12.75" x14ac:dyDescent="0.2">
      <c r="O85" s="1"/>
    </row>
    <row r="86" spans="2:17" ht="12.75" x14ac:dyDescent="0.2">
      <c r="O86" s="1"/>
    </row>
    <row r="87" spans="2:17" ht="12.75" x14ac:dyDescent="0.2">
      <c r="H87" s="1"/>
      <c r="O87" s="1"/>
    </row>
    <row r="88" spans="2:17" ht="12.75" x14ac:dyDescent="0.2">
      <c r="H88" s="1"/>
      <c r="O88" s="1"/>
    </row>
    <row r="89" spans="2:17" ht="12.75" x14ac:dyDescent="0.2">
      <c r="H89" s="1"/>
      <c r="O89" s="1"/>
    </row>
    <row r="90" spans="2:17" ht="12.75" x14ac:dyDescent="0.2">
      <c r="H90" s="1"/>
      <c r="O90" s="1"/>
    </row>
    <row r="91" spans="2:17" ht="12.75" x14ac:dyDescent="0.2">
      <c r="H91" s="1"/>
      <c r="O91" s="1"/>
    </row>
    <row r="92" spans="2:17" ht="12.75" x14ac:dyDescent="0.2">
      <c r="H92" s="1"/>
      <c r="O92" s="1"/>
    </row>
    <row r="93" spans="2:17" ht="12.75" x14ac:dyDescent="0.2">
      <c r="H93" s="1"/>
      <c r="O93" s="1"/>
    </row>
    <row r="94" spans="2:17" ht="12.75" x14ac:dyDescent="0.2">
      <c r="H94" s="1"/>
      <c r="O94" s="1"/>
    </row>
    <row r="95" spans="2:17" ht="12.75" x14ac:dyDescent="0.2">
      <c r="H95" s="1"/>
      <c r="O95" s="1"/>
    </row>
    <row r="96" spans="2:17" ht="12.75" x14ac:dyDescent="0.2">
      <c r="H96" s="1"/>
      <c r="O96" s="1"/>
    </row>
    <row r="97" spans="8:15" ht="12.75" x14ac:dyDescent="0.2">
      <c r="H97" s="1"/>
      <c r="O97" s="1"/>
    </row>
    <row r="98" spans="8:15" ht="12.75" x14ac:dyDescent="0.2">
      <c r="H98" s="1"/>
      <c r="O98" s="1"/>
    </row>
    <row r="99" spans="8:15" ht="12.75" x14ac:dyDescent="0.2">
      <c r="H99" s="1"/>
      <c r="O99" s="1"/>
    </row>
    <row r="100" spans="8:15" ht="12.75" x14ac:dyDescent="0.2">
      <c r="H100" s="1"/>
      <c r="O100" s="1"/>
    </row>
    <row r="101" spans="8:15" ht="12.75" x14ac:dyDescent="0.2">
      <c r="H101" s="1"/>
      <c r="O101" s="1"/>
    </row>
    <row r="102" spans="8:15" ht="12.75" x14ac:dyDescent="0.2">
      <c r="H102" s="1"/>
      <c r="O102" s="1"/>
    </row>
    <row r="103" spans="8:15" ht="12.75" x14ac:dyDescent="0.2">
      <c r="H103" s="1"/>
      <c r="O103" s="1"/>
    </row>
    <row r="104" spans="8:15" ht="12.75" x14ac:dyDescent="0.2">
      <c r="H104" s="1"/>
      <c r="O104" s="1"/>
    </row>
    <row r="105" spans="8:15" ht="12.75" x14ac:dyDescent="0.2">
      <c r="H105" s="1"/>
      <c r="O105" s="1"/>
    </row>
    <row r="106" spans="8:15" ht="12.75" x14ac:dyDescent="0.2">
      <c r="H106" s="1"/>
      <c r="O106" s="1"/>
    </row>
    <row r="107" spans="8:15" ht="12.75" x14ac:dyDescent="0.2">
      <c r="H107" s="1"/>
      <c r="O107" s="1"/>
    </row>
    <row r="108" spans="8:15" ht="12.75" x14ac:dyDescent="0.2">
      <c r="H108" s="1"/>
      <c r="O108" s="1"/>
    </row>
    <row r="109" spans="8:15" ht="12.75" x14ac:dyDescent="0.2">
      <c r="H109" s="1"/>
      <c r="O109" s="1"/>
    </row>
    <row r="110" spans="8:15" ht="12.75" x14ac:dyDescent="0.2">
      <c r="H110" s="1"/>
      <c r="O110" s="1"/>
    </row>
    <row r="111" spans="8:15" ht="12.75" x14ac:dyDescent="0.2">
      <c r="H111" s="1"/>
      <c r="O111" s="1"/>
    </row>
    <row r="112" spans="8:15" ht="12.75" x14ac:dyDescent="0.2">
      <c r="H112" s="1"/>
      <c r="O112" s="1"/>
    </row>
    <row r="113" spans="8:15" ht="12.75" x14ac:dyDescent="0.2">
      <c r="H113" s="1"/>
      <c r="O113" s="1"/>
    </row>
    <row r="114" spans="8:15" ht="12.75" x14ac:dyDescent="0.2">
      <c r="H114" s="1"/>
      <c r="O114" s="1"/>
    </row>
    <row r="115" spans="8:15" ht="12.75" x14ac:dyDescent="0.2">
      <c r="H115" s="1"/>
      <c r="O115" s="1"/>
    </row>
    <row r="116" spans="8:15" ht="12.75" x14ac:dyDescent="0.2">
      <c r="H116" s="1"/>
      <c r="O116" s="1"/>
    </row>
    <row r="117" spans="8:15" ht="12.75" x14ac:dyDescent="0.2">
      <c r="H117" s="1"/>
      <c r="O117" s="1"/>
    </row>
    <row r="118" spans="8:15" ht="12.75" x14ac:dyDescent="0.2">
      <c r="H118" s="1"/>
      <c r="O118" s="1"/>
    </row>
    <row r="119" spans="8:15" ht="12.75" x14ac:dyDescent="0.2">
      <c r="H119" s="1"/>
      <c r="O119" s="1"/>
    </row>
    <row r="120" spans="8:15" ht="12.75" x14ac:dyDescent="0.2">
      <c r="H120" s="1"/>
      <c r="O120" s="1"/>
    </row>
    <row r="121" spans="8:15" ht="12.75" x14ac:dyDescent="0.2">
      <c r="H121" s="1"/>
      <c r="O121" s="1"/>
    </row>
    <row r="122" spans="8:15" ht="12.75" x14ac:dyDescent="0.2">
      <c r="H122" s="1"/>
      <c r="O122" s="1"/>
    </row>
    <row r="123" spans="8:15" ht="12.75" x14ac:dyDescent="0.2">
      <c r="H123" s="1"/>
      <c r="O123" s="1"/>
    </row>
    <row r="124" spans="8:15" ht="12.75" x14ac:dyDescent="0.2">
      <c r="H124" s="1"/>
      <c r="O124" s="1"/>
    </row>
    <row r="125" spans="8:15" ht="12.75" x14ac:dyDescent="0.2">
      <c r="H125" s="1"/>
      <c r="O125" s="1"/>
    </row>
    <row r="126" spans="8:15" ht="12.75" x14ac:dyDescent="0.2">
      <c r="H126" s="1"/>
      <c r="O126" s="1"/>
    </row>
    <row r="127" spans="8:15" ht="12.75" x14ac:dyDescent="0.2">
      <c r="H127" s="1"/>
      <c r="O127" s="1"/>
    </row>
    <row r="128" spans="8:15" ht="12.75" x14ac:dyDescent="0.2">
      <c r="H128" s="1"/>
      <c r="O128" s="1"/>
    </row>
    <row r="129" spans="8:15" ht="12.75" x14ac:dyDescent="0.2">
      <c r="H129" s="1"/>
      <c r="O129" s="1"/>
    </row>
    <row r="130" spans="8:15" ht="12.75" x14ac:dyDescent="0.2">
      <c r="H130" s="1"/>
      <c r="O130" s="1"/>
    </row>
    <row r="131" spans="8:15" ht="12.75" x14ac:dyDescent="0.2">
      <c r="H131" s="1"/>
      <c r="O131" s="1"/>
    </row>
    <row r="132" spans="8:15" ht="12.75" x14ac:dyDescent="0.2">
      <c r="H132" s="1"/>
      <c r="O132" s="1"/>
    </row>
    <row r="133" spans="8:15" ht="12.75" x14ac:dyDescent="0.2">
      <c r="H133" s="1"/>
      <c r="O133" s="1"/>
    </row>
    <row r="134" spans="8:15" ht="12.75" x14ac:dyDescent="0.2">
      <c r="H134" s="1"/>
      <c r="O134" s="1"/>
    </row>
    <row r="135" spans="8:15" ht="12.75" x14ac:dyDescent="0.2">
      <c r="H135" s="1"/>
      <c r="O135" s="1"/>
    </row>
    <row r="136" spans="8:15" ht="12.75" x14ac:dyDescent="0.2">
      <c r="H136" s="1"/>
      <c r="O136" s="1"/>
    </row>
    <row r="137" spans="8:15" ht="12.75" x14ac:dyDescent="0.2">
      <c r="H137" s="1"/>
      <c r="O137" s="1"/>
    </row>
    <row r="138" spans="8:15" ht="12.75" x14ac:dyDescent="0.2">
      <c r="H138" s="1"/>
      <c r="O138" s="1"/>
    </row>
    <row r="139" spans="8:15" ht="12.75" x14ac:dyDescent="0.2">
      <c r="H139" s="1"/>
      <c r="O139" s="1"/>
    </row>
    <row r="140" spans="8:15" ht="12.75" x14ac:dyDescent="0.2">
      <c r="H140" s="1"/>
      <c r="O140" s="1"/>
    </row>
    <row r="141" spans="8:15" ht="12.75" x14ac:dyDescent="0.2">
      <c r="H141" s="1"/>
      <c r="O141" s="1"/>
    </row>
    <row r="142" spans="8:15" ht="12.75" x14ac:dyDescent="0.2">
      <c r="H142" s="1"/>
      <c r="O142" s="1"/>
    </row>
    <row r="143" spans="8:15" ht="12.75" x14ac:dyDescent="0.2">
      <c r="H143" s="1"/>
      <c r="O143" s="1"/>
    </row>
    <row r="144" spans="8:15" ht="12.75" x14ac:dyDescent="0.2">
      <c r="H144" s="1"/>
      <c r="O144" s="1"/>
    </row>
    <row r="145" spans="8:15" ht="12.75" x14ac:dyDescent="0.2">
      <c r="H145" s="1"/>
      <c r="O145" s="1"/>
    </row>
    <row r="146" spans="8:15" ht="12.75" x14ac:dyDescent="0.2">
      <c r="H146" s="1"/>
      <c r="O146" s="1"/>
    </row>
    <row r="147" spans="8:15" ht="12.75" x14ac:dyDescent="0.2">
      <c r="H147" s="1"/>
      <c r="O147" s="1"/>
    </row>
    <row r="148" spans="8:15" ht="12.75" x14ac:dyDescent="0.2">
      <c r="H148" s="1"/>
      <c r="O148" s="1"/>
    </row>
    <row r="149" spans="8:15" ht="12.75" x14ac:dyDescent="0.2">
      <c r="H149" s="1"/>
      <c r="O149" s="1"/>
    </row>
    <row r="150" spans="8:15" ht="12.75" x14ac:dyDescent="0.2">
      <c r="H150" s="1"/>
      <c r="O150" s="1"/>
    </row>
    <row r="151" spans="8:15" ht="12.75" x14ac:dyDescent="0.2">
      <c r="H151" s="1"/>
      <c r="O151" s="1"/>
    </row>
    <row r="152" spans="8:15" ht="12.75" x14ac:dyDescent="0.2">
      <c r="H152" s="1"/>
      <c r="O152" s="1"/>
    </row>
    <row r="153" spans="8:15" ht="12.75" x14ac:dyDescent="0.2">
      <c r="H153" s="1"/>
      <c r="O153" s="1"/>
    </row>
    <row r="154" spans="8:15" ht="12.75" x14ac:dyDescent="0.2">
      <c r="H154" s="1"/>
      <c r="O154" s="1"/>
    </row>
    <row r="155" spans="8:15" ht="12.75" x14ac:dyDescent="0.2">
      <c r="H155" s="1"/>
      <c r="O155" s="1"/>
    </row>
    <row r="156" spans="8:15" ht="12.75" x14ac:dyDescent="0.2">
      <c r="H156" s="1"/>
      <c r="O156" s="1"/>
    </row>
    <row r="157" spans="8:15" ht="12.75" x14ac:dyDescent="0.2">
      <c r="H157" s="1"/>
      <c r="O157" s="1"/>
    </row>
    <row r="158" spans="8:15" ht="12.75" x14ac:dyDescent="0.2">
      <c r="H158" s="1"/>
      <c r="O158" s="1"/>
    </row>
    <row r="159" spans="8:15" ht="12.75" x14ac:dyDescent="0.2">
      <c r="H159" s="1"/>
      <c r="O159" s="1"/>
    </row>
    <row r="160" spans="8:15" ht="12.75" x14ac:dyDescent="0.2">
      <c r="H160" s="1"/>
      <c r="O160" s="1"/>
    </row>
    <row r="161" spans="8:15" ht="12.75" x14ac:dyDescent="0.2">
      <c r="H161" s="1"/>
      <c r="O161" s="1"/>
    </row>
    <row r="162" spans="8:15" ht="12.75" x14ac:dyDescent="0.2">
      <c r="H162" s="1"/>
      <c r="O162" s="1"/>
    </row>
    <row r="163" spans="8:15" ht="12.75" x14ac:dyDescent="0.2">
      <c r="H163" s="1"/>
      <c r="O163" s="1"/>
    </row>
    <row r="164" spans="8:15" ht="12.75" x14ac:dyDescent="0.2">
      <c r="H164" s="1"/>
      <c r="O164" s="1"/>
    </row>
    <row r="165" spans="8:15" ht="12.75" x14ac:dyDescent="0.2">
      <c r="H165" s="1"/>
      <c r="O165" s="1"/>
    </row>
    <row r="166" spans="8:15" ht="12.75" x14ac:dyDescent="0.2">
      <c r="H166" s="1"/>
      <c r="O166" s="1"/>
    </row>
    <row r="167" spans="8:15" ht="12.75" x14ac:dyDescent="0.2">
      <c r="H167" s="1"/>
      <c r="O167" s="1"/>
    </row>
    <row r="168" spans="8:15" ht="12.75" x14ac:dyDescent="0.2">
      <c r="H168" s="1"/>
      <c r="O168" s="1"/>
    </row>
    <row r="169" spans="8:15" ht="12.75" x14ac:dyDescent="0.2">
      <c r="H169" s="1"/>
      <c r="O169" s="1"/>
    </row>
    <row r="170" spans="8:15" ht="12.75" x14ac:dyDescent="0.2">
      <c r="H170" s="1"/>
      <c r="O170" s="1"/>
    </row>
    <row r="171" spans="8:15" ht="12.75" x14ac:dyDescent="0.2">
      <c r="H171" s="1"/>
      <c r="O171" s="1"/>
    </row>
    <row r="172" spans="8:15" ht="12.75" x14ac:dyDescent="0.2">
      <c r="H172" s="1"/>
      <c r="O172" s="1"/>
    </row>
    <row r="173" spans="8:15" ht="12.75" x14ac:dyDescent="0.2">
      <c r="H173" s="1"/>
      <c r="O173" s="1"/>
    </row>
    <row r="174" spans="8:15" ht="12.75" x14ac:dyDescent="0.2">
      <c r="H174" s="1"/>
      <c r="O174" s="1"/>
    </row>
    <row r="175" spans="8:15" ht="12.75" x14ac:dyDescent="0.2">
      <c r="H175" s="1"/>
      <c r="O175" s="1"/>
    </row>
    <row r="176" spans="8:15" ht="12.75" x14ac:dyDescent="0.2">
      <c r="H176" s="1"/>
      <c r="O176" s="1"/>
    </row>
    <row r="177" spans="8:15" ht="12.75" x14ac:dyDescent="0.2">
      <c r="H177" s="1"/>
      <c r="O177" s="1"/>
    </row>
    <row r="178" spans="8:15" ht="12.75" x14ac:dyDescent="0.2">
      <c r="H178" s="1"/>
      <c r="O178" s="1"/>
    </row>
    <row r="179" spans="8:15" ht="12.75" x14ac:dyDescent="0.2">
      <c r="H179" s="1"/>
      <c r="O179" s="1"/>
    </row>
    <row r="180" spans="8:15" ht="12.75" x14ac:dyDescent="0.2">
      <c r="H180" s="1"/>
      <c r="O180" s="1"/>
    </row>
    <row r="181" spans="8:15" ht="12.75" x14ac:dyDescent="0.2">
      <c r="H181" s="1"/>
      <c r="O181" s="1"/>
    </row>
    <row r="182" spans="8:15" ht="12.75" x14ac:dyDescent="0.2">
      <c r="H182" s="1"/>
      <c r="O182" s="1"/>
    </row>
    <row r="183" spans="8:15" ht="12.75" x14ac:dyDescent="0.2">
      <c r="H183" s="1"/>
      <c r="O183" s="1"/>
    </row>
    <row r="184" spans="8:15" ht="12.75" x14ac:dyDescent="0.2">
      <c r="H184" s="1"/>
      <c r="O184" s="1"/>
    </row>
    <row r="185" spans="8:15" ht="12.75" x14ac:dyDescent="0.2">
      <c r="H185" s="1"/>
      <c r="O185" s="1"/>
    </row>
    <row r="186" spans="8:15" ht="12.75" x14ac:dyDescent="0.2">
      <c r="H186" s="1"/>
      <c r="O186" s="1"/>
    </row>
    <row r="187" spans="8:15" ht="12.75" x14ac:dyDescent="0.2">
      <c r="H187" s="1"/>
      <c r="O187" s="1"/>
    </row>
    <row r="188" spans="8:15" ht="12.75" x14ac:dyDescent="0.2">
      <c r="H188" s="1"/>
      <c r="O188" s="1"/>
    </row>
    <row r="189" spans="8:15" ht="12.75" x14ac:dyDescent="0.2">
      <c r="H189" s="1"/>
      <c r="O189" s="1"/>
    </row>
    <row r="190" spans="8:15" ht="12.75" x14ac:dyDescent="0.2">
      <c r="H190" s="1"/>
      <c r="O190" s="1"/>
    </row>
    <row r="191" spans="8:15" ht="12.75" x14ac:dyDescent="0.2">
      <c r="H191" s="1"/>
      <c r="O191" s="1"/>
    </row>
    <row r="192" spans="8:15" ht="12.75" x14ac:dyDescent="0.2">
      <c r="H192" s="1"/>
      <c r="O192" s="1"/>
    </row>
    <row r="193" spans="8:15" ht="12.75" x14ac:dyDescent="0.2">
      <c r="H193" s="1"/>
      <c r="O193" s="1"/>
    </row>
    <row r="194" spans="8:15" ht="12.75" x14ac:dyDescent="0.2">
      <c r="H194" s="1"/>
      <c r="O194" s="1"/>
    </row>
    <row r="195" spans="8:15" ht="12.75" x14ac:dyDescent="0.2">
      <c r="H195" s="1"/>
      <c r="O195" s="1"/>
    </row>
    <row r="196" spans="8:15" ht="12.75" x14ac:dyDescent="0.2">
      <c r="H196" s="1"/>
      <c r="O196" s="1"/>
    </row>
    <row r="197" spans="8:15" ht="12.75" x14ac:dyDescent="0.2">
      <c r="H197" s="1"/>
      <c r="O197" s="1"/>
    </row>
    <row r="198" spans="8:15" ht="12.75" x14ac:dyDescent="0.2">
      <c r="H198" s="1"/>
      <c r="O198" s="1"/>
    </row>
    <row r="199" spans="8:15" ht="12.75" x14ac:dyDescent="0.2">
      <c r="H199" s="1"/>
      <c r="O199" s="1"/>
    </row>
    <row r="200" spans="8:15" ht="12.75" x14ac:dyDescent="0.2">
      <c r="H200" s="1"/>
      <c r="O200" s="1"/>
    </row>
    <row r="201" spans="8:15" ht="12.75" x14ac:dyDescent="0.2">
      <c r="H201" s="1"/>
      <c r="O201" s="1"/>
    </row>
    <row r="202" spans="8:15" ht="12.75" x14ac:dyDescent="0.2">
      <c r="H202" s="1"/>
      <c r="O202" s="1"/>
    </row>
    <row r="203" spans="8:15" ht="12.75" x14ac:dyDescent="0.2">
      <c r="H203" s="1"/>
      <c r="O203" s="1"/>
    </row>
    <row r="204" spans="8:15" ht="12.75" x14ac:dyDescent="0.2">
      <c r="H204" s="1"/>
      <c r="O204" s="1"/>
    </row>
    <row r="205" spans="8:15" ht="12.75" x14ac:dyDescent="0.2">
      <c r="H205" s="1"/>
      <c r="O205" s="1"/>
    </row>
    <row r="206" spans="8:15" ht="12.75" x14ac:dyDescent="0.2">
      <c r="H206" s="1"/>
      <c r="O206" s="1"/>
    </row>
    <row r="207" spans="8:15" ht="12.75" x14ac:dyDescent="0.2">
      <c r="H207" s="1"/>
      <c r="O207" s="1"/>
    </row>
    <row r="208" spans="8:15" ht="12.75" x14ac:dyDescent="0.2">
      <c r="H208" s="1"/>
      <c r="O208" s="1"/>
    </row>
    <row r="209" spans="8:15" ht="12.75" x14ac:dyDescent="0.2">
      <c r="H209" s="1"/>
      <c r="O209" s="1"/>
    </row>
    <row r="210" spans="8:15" ht="12.75" x14ac:dyDescent="0.2">
      <c r="H210" s="1"/>
      <c r="O210" s="1"/>
    </row>
    <row r="211" spans="8:15" ht="12.75" x14ac:dyDescent="0.2">
      <c r="H211" s="1"/>
      <c r="O211" s="1"/>
    </row>
    <row r="212" spans="8:15" ht="12.75" x14ac:dyDescent="0.2">
      <c r="H212" s="1"/>
      <c r="O212" s="1"/>
    </row>
    <row r="213" spans="8:15" ht="12.75" x14ac:dyDescent="0.2">
      <c r="H213" s="1"/>
      <c r="O213" s="1"/>
    </row>
    <row r="214" spans="8:15" ht="12.75" x14ac:dyDescent="0.2">
      <c r="H214" s="1"/>
      <c r="O214" s="1"/>
    </row>
    <row r="215" spans="8:15" ht="12.75" x14ac:dyDescent="0.2">
      <c r="H215" s="1"/>
      <c r="O215" s="1"/>
    </row>
    <row r="216" spans="8:15" ht="12.75" x14ac:dyDescent="0.2">
      <c r="H216" s="1"/>
      <c r="O216" s="1"/>
    </row>
    <row r="217" spans="8:15" ht="12.75" x14ac:dyDescent="0.2">
      <c r="H217" s="1"/>
      <c r="O217" s="1"/>
    </row>
    <row r="218" spans="8:15" ht="12.75" x14ac:dyDescent="0.2">
      <c r="H218" s="1"/>
      <c r="O218" s="1"/>
    </row>
    <row r="219" spans="8:15" ht="12.75" x14ac:dyDescent="0.2">
      <c r="H219" s="1"/>
      <c r="O219" s="1"/>
    </row>
    <row r="220" spans="8:15" ht="12.75" x14ac:dyDescent="0.2">
      <c r="H220" s="1"/>
      <c r="O220" s="1"/>
    </row>
    <row r="221" spans="8:15" ht="12.75" x14ac:dyDescent="0.2">
      <c r="H221" s="1"/>
      <c r="O221" s="1"/>
    </row>
    <row r="222" spans="8:15" ht="12.75" x14ac:dyDescent="0.2">
      <c r="H222" s="1"/>
      <c r="O222" s="1"/>
    </row>
    <row r="223" spans="8:15" ht="12.75" x14ac:dyDescent="0.2">
      <c r="H223" s="1"/>
      <c r="O223" s="1"/>
    </row>
    <row r="224" spans="8:15" ht="12.75" x14ac:dyDescent="0.2">
      <c r="H224" s="1"/>
      <c r="O224" s="1"/>
    </row>
    <row r="225" spans="8:15" ht="12.75" x14ac:dyDescent="0.2">
      <c r="H225" s="1"/>
      <c r="O225" s="1"/>
    </row>
    <row r="226" spans="8:15" ht="12.75" x14ac:dyDescent="0.2">
      <c r="H226" s="1"/>
      <c r="O226" s="1"/>
    </row>
    <row r="227" spans="8:15" ht="12.75" x14ac:dyDescent="0.2">
      <c r="H227" s="1"/>
      <c r="O227" s="1"/>
    </row>
    <row r="228" spans="8:15" ht="12.75" x14ac:dyDescent="0.2">
      <c r="H228" s="1"/>
      <c r="O228" s="1"/>
    </row>
    <row r="229" spans="8:15" ht="12.75" x14ac:dyDescent="0.2">
      <c r="H229" s="1"/>
      <c r="O229" s="1"/>
    </row>
    <row r="230" spans="8:15" ht="12.75" x14ac:dyDescent="0.2">
      <c r="H230" s="1"/>
      <c r="O230" s="1"/>
    </row>
    <row r="231" spans="8:15" ht="12.75" x14ac:dyDescent="0.2">
      <c r="H231" s="1"/>
      <c r="O231" s="1"/>
    </row>
    <row r="232" spans="8:15" ht="12.75" x14ac:dyDescent="0.2">
      <c r="H232" s="1"/>
      <c r="O232" s="1"/>
    </row>
    <row r="233" spans="8:15" ht="12.75" x14ac:dyDescent="0.2">
      <c r="H233" s="1"/>
      <c r="O233" s="1"/>
    </row>
    <row r="234" spans="8:15" ht="12.75" x14ac:dyDescent="0.2">
      <c r="H234" s="1"/>
      <c r="O234" s="1"/>
    </row>
    <row r="235" spans="8:15" ht="12.75" x14ac:dyDescent="0.2">
      <c r="H235" s="1"/>
      <c r="O235" s="1"/>
    </row>
    <row r="236" spans="8:15" ht="12.75" x14ac:dyDescent="0.2">
      <c r="H236" s="1"/>
      <c r="O236" s="1"/>
    </row>
    <row r="237" spans="8:15" ht="12.75" x14ac:dyDescent="0.2">
      <c r="H237" s="1"/>
      <c r="O237" s="1"/>
    </row>
    <row r="238" spans="8:15" ht="12.75" x14ac:dyDescent="0.2">
      <c r="H238" s="1"/>
      <c r="O238" s="1"/>
    </row>
    <row r="239" spans="8:15" ht="12.75" x14ac:dyDescent="0.2">
      <c r="H239" s="1"/>
      <c r="O239" s="1"/>
    </row>
    <row r="240" spans="8:15" ht="12.75" x14ac:dyDescent="0.2">
      <c r="H240" s="1"/>
      <c r="O240" s="1"/>
    </row>
    <row r="241" spans="8:15" ht="12.75" x14ac:dyDescent="0.2">
      <c r="H241" s="1"/>
      <c r="O241" s="1"/>
    </row>
    <row r="242" spans="8:15" ht="12.75" x14ac:dyDescent="0.2">
      <c r="H242" s="1"/>
      <c r="O242" s="1"/>
    </row>
    <row r="243" spans="8:15" ht="12.75" x14ac:dyDescent="0.2">
      <c r="H243" s="1"/>
      <c r="O243" s="1"/>
    </row>
    <row r="244" spans="8:15" ht="12.75" x14ac:dyDescent="0.2">
      <c r="H244" s="1"/>
      <c r="O244" s="1"/>
    </row>
    <row r="245" spans="8:15" ht="12.75" x14ac:dyDescent="0.2">
      <c r="H245" s="1"/>
      <c r="O245" s="1"/>
    </row>
    <row r="246" spans="8:15" ht="12.75" x14ac:dyDescent="0.2">
      <c r="H246" s="1"/>
      <c r="O246" s="1"/>
    </row>
    <row r="247" spans="8:15" ht="12.75" x14ac:dyDescent="0.2">
      <c r="H247" s="1"/>
      <c r="O247" s="1"/>
    </row>
    <row r="248" spans="8:15" ht="12.75" x14ac:dyDescent="0.2">
      <c r="H248" s="1"/>
      <c r="O248" s="1"/>
    </row>
    <row r="249" spans="8:15" ht="12.75" x14ac:dyDescent="0.2">
      <c r="H249" s="1"/>
      <c r="O249" s="1"/>
    </row>
    <row r="250" spans="8:15" ht="12.75" x14ac:dyDescent="0.2">
      <c r="H250" s="1"/>
      <c r="O250" s="1"/>
    </row>
    <row r="251" spans="8:15" ht="12.75" x14ac:dyDescent="0.2">
      <c r="H251" s="1"/>
      <c r="O251" s="1"/>
    </row>
    <row r="252" spans="8:15" ht="12.75" x14ac:dyDescent="0.2">
      <c r="H252" s="1"/>
      <c r="O252" s="1"/>
    </row>
    <row r="253" spans="8:15" ht="12.75" x14ac:dyDescent="0.2">
      <c r="H253" s="1"/>
      <c r="O253" s="1"/>
    </row>
    <row r="254" spans="8:15" ht="12.75" x14ac:dyDescent="0.2">
      <c r="H254" s="1"/>
      <c r="O254" s="1"/>
    </row>
    <row r="255" spans="8:15" ht="12.75" x14ac:dyDescent="0.2">
      <c r="H255" s="1"/>
      <c r="O255" s="1"/>
    </row>
    <row r="256" spans="8:15" ht="12.75" x14ac:dyDescent="0.2">
      <c r="H256" s="1"/>
      <c r="O256" s="1"/>
    </row>
    <row r="257" spans="8:15" ht="12.75" x14ac:dyDescent="0.2">
      <c r="H257" s="1"/>
      <c r="O257" s="1"/>
    </row>
    <row r="258" spans="8:15" ht="12.75" x14ac:dyDescent="0.2">
      <c r="H258" s="1"/>
      <c r="O258" s="1"/>
    </row>
    <row r="259" spans="8:15" ht="12.75" x14ac:dyDescent="0.2">
      <c r="H259" s="1"/>
      <c r="O259" s="1"/>
    </row>
    <row r="260" spans="8:15" ht="12.75" x14ac:dyDescent="0.2">
      <c r="H260" s="1"/>
      <c r="O260" s="1"/>
    </row>
    <row r="261" spans="8:15" ht="12.75" x14ac:dyDescent="0.2">
      <c r="H261" s="1"/>
      <c r="O261" s="1"/>
    </row>
    <row r="262" spans="8:15" ht="12.75" x14ac:dyDescent="0.2">
      <c r="H262" s="1"/>
      <c r="O262" s="1"/>
    </row>
    <row r="263" spans="8:15" ht="12.75" x14ac:dyDescent="0.2">
      <c r="H263" s="1"/>
      <c r="O263" s="1"/>
    </row>
    <row r="264" spans="8:15" ht="12.75" x14ac:dyDescent="0.2">
      <c r="H264" s="1"/>
      <c r="O264" s="1"/>
    </row>
    <row r="265" spans="8:15" ht="12.75" x14ac:dyDescent="0.2">
      <c r="H265" s="1"/>
      <c r="O265" s="1"/>
    </row>
    <row r="266" spans="8:15" ht="12.75" x14ac:dyDescent="0.2">
      <c r="H266" s="1"/>
      <c r="O266" s="1"/>
    </row>
    <row r="267" spans="8:15" ht="12.75" x14ac:dyDescent="0.2">
      <c r="H267" s="1"/>
      <c r="O267" s="1"/>
    </row>
    <row r="268" spans="8:15" ht="12.75" x14ac:dyDescent="0.2">
      <c r="H268" s="1"/>
      <c r="O268" s="1"/>
    </row>
    <row r="269" spans="8:15" ht="12.75" x14ac:dyDescent="0.2">
      <c r="H269" s="1"/>
      <c r="O269" s="1"/>
    </row>
    <row r="270" spans="8:15" ht="12.75" x14ac:dyDescent="0.2">
      <c r="H270" s="1"/>
      <c r="O270" s="1"/>
    </row>
    <row r="271" spans="8:15" ht="12.75" x14ac:dyDescent="0.2">
      <c r="H271" s="1"/>
      <c r="O271" s="1"/>
    </row>
    <row r="272" spans="8:15" ht="12.75" x14ac:dyDescent="0.2">
      <c r="H272" s="1"/>
      <c r="O272" s="1"/>
    </row>
    <row r="273" spans="8:15" ht="12.75" x14ac:dyDescent="0.2">
      <c r="H273" s="1"/>
      <c r="O273" s="1"/>
    </row>
    <row r="274" spans="8:15" ht="12.75" x14ac:dyDescent="0.2">
      <c r="H274" s="1"/>
      <c r="O274" s="1"/>
    </row>
    <row r="275" spans="8:15" ht="12.75" x14ac:dyDescent="0.2">
      <c r="H275" s="1"/>
      <c r="O275" s="1"/>
    </row>
    <row r="276" spans="8:15" ht="12.75" x14ac:dyDescent="0.2">
      <c r="H276" s="1"/>
      <c r="O276" s="1"/>
    </row>
    <row r="277" spans="8:15" ht="12.75" x14ac:dyDescent="0.2">
      <c r="H277" s="1"/>
      <c r="O277" s="1"/>
    </row>
    <row r="278" spans="8:15" ht="12.75" x14ac:dyDescent="0.2">
      <c r="H278" s="1"/>
      <c r="O278" s="1"/>
    </row>
    <row r="279" spans="8:15" ht="12.75" x14ac:dyDescent="0.2">
      <c r="H279" s="1"/>
      <c r="O279" s="1"/>
    </row>
    <row r="280" spans="8:15" ht="12.75" x14ac:dyDescent="0.2">
      <c r="H280" s="1"/>
      <c r="O280" s="1"/>
    </row>
    <row r="281" spans="8:15" ht="12.75" x14ac:dyDescent="0.2">
      <c r="H281" s="1"/>
      <c r="O281" s="1"/>
    </row>
    <row r="282" spans="8:15" ht="12.75" x14ac:dyDescent="0.2">
      <c r="H282" s="1"/>
      <c r="O282" s="1"/>
    </row>
    <row r="283" spans="8:15" ht="12.75" x14ac:dyDescent="0.2">
      <c r="H283" s="1"/>
      <c r="O283" s="1"/>
    </row>
    <row r="284" spans="8:15" ht="12.75" x14ac:dyDescent="0.2">
      <c r="H284" s="1"/>
      <c r="O284" s="1"/>
    </row>
    <row r="285" spans="8:15" ht="12.75" x14ac:dyDescent="0.2">
      <c r="H285" s="1"/>
      <c r="O285" s="1"/>
    </row>
    <row r="286" spans="8:15" ht="12.75" x14ac:dyDescent="0.2">
      <c r="H286" s="1"/>
      <c r="O286" s="1"/>
    </row>
    <row r="287" spans="8:15" ht="12.75" x14ac:dyDescent="0.2">
      <c r="H287" s="1"/>
      <c r="O287" s="1"/>
    </row>
    <row r="288" spans="8:15" ht="12.75" x14ac:dyDescent="0.2">
      <c r="H288" s="1"/>
      <c r="O288" s="1"/>
    </row>
    <row r="289" spans="8:15" ht="12.75" x14ac:dyDescent="0.2">
      <c r="H289" s="1"/>
      <c r="O289" s="1"/>
    </row>
    <row r="290" spans="8:15" ht="12.75" x14ac:dyDescent="0.2">
      <c r="H290" s="1"/>
      <c r="O290" s="1"/>
    </row>
    <row r="291" spans="8:15" ht="12.75" x14ac:dyDescent="0.2">
      <c r="H291" s="1"/>
      <c r="O291" s="1"/>
    </row>
    <row r="292" spans="8:15" ht="12.75" x14ac:dyDescent="0.2">
      <c r="H292" s="1"/>
      <c r="O292" s="1"/>
    </row>
    <row r="293" spans="8:15" ht="12.75" x14ac:dyDescent="0.2">
      <c r="H293" s="1"/>
      <c r="O293" s="1"/>
    </row>
    <row r="294" spans="8:15" ht="12.75" x14ac:dyDescent="0.2">
      <c r="H294" s="1"/>
      <c r="O294" s="1"/>
    </row>
    <row r="295" spans="8:15" ht="12.75" x14ac:dyDescent="0.2">
      <c r="H295" s="1"/>
      <c r="O295" s="1"/>
    </row>
    <row r="296" spans="8:15" ht="12.75" x14ac:dyDescent="0.2">
      <c r="H296" s="1"/>
      <c r="O296" s="1"/>
    </row>
    <row r="297" spans="8:15" ht="12.75" x14ac:dyDescent="0.2">
      <c r="H297" s="1"/>
      <c r="O297" s="1"/>
    </row>
    <row r="298" spans="8:15" ht="12.75" x14ac:dyDescent="0.2">
      <c r="H298" s="1"/>
      <c r="O298" s="1"/>
    </row>
    <row r="299" spans="8:15" ht="12.75" x14ac:dyDescent="0.2">
      <c r="H299" s="1"/>
      <c r="O299" s="1"/>
    </row>
    <row r="300" spans="8:15" ht="12.75" x14ac:dyDescent="0.2">
      <c r="H300" s="1"/>
      <c r="O300" s="1"/>
    </row>
    <row r="301" spans="8:15" ht="12.75" x14ac:dyDescent="0.2">
      <c r="H301" s="1"/>
      <c r="O301" s="1"/>
    </row>
    <row r="302" spans="8:15" ht="12.75" x14ac:dyDescent="0.2">
      <c r="H302" s="1"/>
      <c r="O302" s="1"/>
    </row>
    <row r="303" spans="8:15" ht="12.75" x14ac:dyDescent="0.2">
      <c r="H303" s="1"/>
      <c r="O303" s="1"/>
    </row>
    <row r="304" spans="8:15" ht="12.75" x14ac:dyDescent="0.2">
      <c r="H304" s="1"/>
      <c r="O304" s="1"/>
    </row>
    <row r="305" spans="8:15" ht="12.75" x14ac:dyDescent="0.2">
      <c r="H305" s="1"/>
      <c r="O305" s="1"/>
    </row>
    <row r="306" spans="8:15" ht="12.75" x14ac:dyDescent="0.2">
      <c r="H306" s="1"/>
      <c r="O306" s="1"/>
    </row>
    <row r="307" spans="8:15" ht="12.75" x14ac:dyDescent="0.2">
      <c r="H307" s="1"/>
      <c r="O307" s="1"/>
    </row>
    <row r="308" spans="8:15" ht="12.75" x14ac:dyDescent="0.2">
      <c r="H308" s="1"/>
      <c r="O308" s="1"/>
    </row>
    <row r="309" spans="8:15" ht="12.75" x14ac:dyDescent="0.2">
      <c r="H309" s="1"/>
      <c r="O309" s="1"/>
    </row>
    <row r="310" spans="8:15" ht="12.75" x14ac:dyDescent="0.2">
      <c r="H310" s="1"/>
      <c r="O310" s="1"/>
    </row>
    <row r="311" spans="8:15" ht="12.75" x14ac:dyDescent="0.2">
      <c r="H311" s="1"/>
      <c r="O311" s="1"/>
    </row>
    <row r="312" spans="8:15" ht="12.75" x14ac:dyDescent="0.2">
      <c r="H312" s="1"/>
      <c r="O312" s="1"/>
    </row>
    <row r="313" spans="8:15" ht="12.75" x14ac:dyDescent="0.2">
      <c r="H313" s="1"/>
      <c r="O313" s="1"/>
    </row>
    <row r="314" spans="8:15" ht="12.75" x14ac:dyDescent="0.2">
      <c r="H314" s="1"/>
      <c r="O314" s="1"/>
    </row>
    <row r="315" spans="8:15" ht="12.75" x14ac:dyDescent="0.2">
      <c r="H315" s="1"/>
      <c r="O315" s="1"/>
    </row>
    <row r="316" spans="8:15" ht="12.75" x14ac:dyDescent="0.2">
      <c r="H316" s="1"/>
      <c r="O316" s="1"/>
    </row>
    <row r="317" spans="8:15" ht="12.75" x14ac:dyDescent="0.2">
      <c r="H317" s="1"/>
      <c r="O317" s="1"/>
    </row>
    <row r="318" spans="8:15" ht="12.75" x14ac:dyDescent="0.2">
      <c r="H318" s="1"/>
      <c r="O318" s="1"/>
    </row>
    <row r="319" spans="8:15" ht="12.75" x14ac:dyDescent="0.2">
      <c r="H319" s="1"/>
      <c r="O319" s="1"/>
    </row>
    <row r="320" spans="8:15" ht="12.75" x14ac:dyDescent="0.2">
      <c r="H320" s="1"/>
      <c r="O320" s="1"/>
    </row>
    <row r="321" spans="8:15" ht="12.75" x14ac:dyDescent="0.2">
      <c r="H321" s="1"/>
      <c r="O321" s="1"/>
    </row>
    <row r="322" spans="8:15" ht="12.75" x14ac:dyDescent="0.2">
      <c r="H322" s="1"/>
      <c r="O322" s="1"/>
    </row>
    <row r="323" spans="8:15" ht="12.75" x14ac:dyDescent="0.2">
      <c r="H323" s="1"/>
      <c r="O323" s="1"/>
    </row>
    <row r="324" spans="8:15" ht="12.75" x14ac:dyDescent="0.2">
      <c r="H324" s="1"/>
      <c r="O324" s="1"/>
    </row>
    <row r="325" spans="8:15" ht="12.75" x14ac:dyDescent="0.2">
      <c r="H325" s="1"/>
      <c r="O325" s="1"/>
    </row>
    <row r="326" spans="8:15" ht="12.75" x14ac:dyDescent="0.2">
      <c r="H326" s="1"/>
      <c r="O326" s="1"/>
    </row>
    <row r="327" spans="8:15" ht="12.75" x14ac:dyDescent="0.2">
      <c r="H327" s="1"/>
      <c r="O327" s="1"/>
    </row>
    <row r="328" spans="8:15" ht="12.75" x14ac:dyDescent="0.2">
      <c r="H328" s="1"/>
      <c r="O328" s="1"/>
    </row>
    <row r="329" spans="8:15" ht="12.75" x14ac:dyDescent="0.2">
      <c r="H329" s="1"/>
      <c r="O329" s="1"/>
    </row>
    <row r="330" spans="8:15" ht="12.75" x14ac:dyDescent="0.2">
      <c r="H330" s="1"/>
      <c r="O330" s="1"/>
    </row>
    <row r="331" spans="8:15" ht="12.75" x14ac:dyDescent="0.2">
      <c r="H331" s="1"/>
      <c r="O331" s="1"/>
    </row>
    <row r="332" spans="8:15" ht="12.75" x14ac:dyDescent="0.2">
      <c r="H332" s="1"/>
      <c r="O332" s="1"/>
    </row>
    <row r="333" spans="8:15" ht="12.75" x14ac:dyDescent="0.2">
      <c r="H333" s="1"/>
      <c r="O333" s="1"/>
    </row>
    <row r="334" spans="8:15" ht="12.75" x14ac:dyDescent="0.2">
      <c r="H334" s="1"/>
      <c r="O334" s="1"/>
    </row>
    <row r="335" spans="8:15" ht="12.75" x14ac:dyDescent="0.2">
      <c r="H335" s="1"/>
      <c r="O335" s="1"/>
    </row>
    <row r="336" spans="8:15" ht="12.75" x14ac:dyDescent="0.2">
      <c r="H336" s="1"/>
      <c r="O336" s="1"/>
    </row>
    <row r="337" spans="8:15" ht="12.75" x14ac:dyDescent="0.2">
      <c r="H337" s="1"/>
      <c r="O337" s="1"/>
    </row>
    <row r="338" spans="8:15" ht="12.75" x14ac:dyDescent="0.2">
      <c r="H338" s="1"/>
      <c r="O338" s="1"/>
    </row>
    <row r="339" spans="8:15" ht="12.75" x14ac:dyDescent="0.2">
      <c r="H339" s="1"/>
      <c r="O339" s="1"/>
    </row>
    <row r="340" spans="8:15" ht="12.75" x14ac:dyDescent="0.2">
      <c r="H340" s="1"/>
      <c r="O340" s="1"/>
    </row>
    <row r="341" spans="8:15" ht="12.75" x14ac:dyDescent="0.2">
      <c r="H341" s="1"/>
      <c r="O341" s="1"/>
    </row>
    <row r="342" spans="8:15" ht="12.75" x14ac:dyDescent="0.2">
      <c r="H342" s="1"/>
      <c r="O342" s="1"/>
    </row>
    <row r="343" spans="8:15" ht="12.75" x14ac:dyDescent="0.2">
      <c r="H343" s="1"/>
      <c r="O343" s="1"/>
    </row>
    <row r="344" spans="8:15" ht="12.75" x14ac:dyDescent="0.2">
      <c r="H344" s="1"/>
      <c r="O344" s="1"/>
    </row>
    <row r="345" spans="8:15" ht="12.75" x14ac:dyDescent="0.2">
      <c r="H345" s="1"/>
      <c r="O345" s="1"/>
    </row>
    <row r="346" spans="8:15" ht="12.75" x14ac:dyDescent="0.2">
      <c r="H346" s="1"/>
      <c r="O346" s="1"/>
    </row>
    <row r="347" spans="8:15" ht="12.75" x14ac:dyDescent="0.2">
      <c r="H347" s="1"/>
      <c r="O347" s="1"/>
    </row>
    <row r="348" spans="8:15" ht="12.75" x14ac:dyDescent="0.2">
      <c r="H348" s="1"/>
      <c r="O348" s="1"/>
    </row>
    <row r="349" spans="8:15" ht="12.75" x14ac:dyDescent="0.2">
      <c r="H349" s="1"/>
      <c r="O349" s="1"/>
    </row>
    <row r="350" spans="8:15" ht="12.75" x14ac:dyDescent="0.2">
      <c r="H350" s="1"/>
      <c r="O350" s="1"/>
    </row>
    <row r="351" spans="8:15" ht="12.75" x14ac:dyDescent="0.2">
      <c r="H351" s="1"/>
      <c r="O351" s="1"/>
    </row>
    <row r="352" spans="8:15" ht="12.75" x14ac:dyDescent="0.2">
      <c r="H352" s="1"/>
      <c r="O352" s="1"/>
    </row>
    <row r="353" spans="8:15" ht="12.75" x14ac:dyDescent="0.2">
      <c r="H353" s="1"/>
      <c r="O353" s="1"/>
    </row>
    <row r="354" spans="8:15" ht="12.75" x14ac:dyDescent="0.2">
      <c r="H354" s="1"/>
      <c r="O354" s="1"/>
    </row>
    <row r="355" spans="8:15" ht="12.75" x14ac:dyDescent="0.2">
      <c r="H355" s="1"/>
      <c r="O355" s="1"/>
    </row>
    <row r="356" spans="8:15" ht="12.75" x14ac:dyDescent="0.2">
      <c r="H356" s="1"/>
      <c r="O356" s="1"/>
    </row>
    <row r="357" spans="8:15" ht="12.75" x14ac:dyDescent="0.2">
      <c r="H357" s="1"/>
      <c r="O357" s="1"/>
    </row>
    <row r="358" spans="8:15" ht="12.75" x14ac:dyDescent="0.2">
      <c r="H358" s="1"/>
      <c r="O358" s="1"/>
    </row>
    <row r="359" spans="8:15" ht="12.75" x14ac:dyDescent="0.2">
      <c r="H359" s="1"/>
      <c r="O359" s="1"/>
    </row>
    <row r="360" spans="8:15" ht="12.75" x14ac:dyDescent="0.2">
      <c r="H360" s="1"/>
      <c r="O360" s="1"/>
    </row>
    <row r="361" spans="8:15" ht="12.75" x14ac:dyDescent="0.2">
      <c r="H361" s="1"/>
      <c r="O361" s="1"/>
    </row>
    <row r="362" spans="8:15" ht="12.75" x14ac:dyDescent="0.2">
      <c r="H362" s="1"/>
      <c r="O362" s="1"/>
    </row>
    <row r="363" spans="8:15" ht="12.75" x14ac:dyDescent="0.2">
      <c r="H363" s="1"/>
      <c r="O363" s="1"/>
    </row>
    <row r="364" spans="8:15" ht="12.75" x14ac:dyDescent="0.2">
      <c r="H364" s="1"/>
      <c r="O364" s="1"/>
    </row>
    <row r="365" spans="8:15" ht="12.75" x14ac:dyDescent="0.2">
      <c r="H365" s="1"/>
      <c r="O365" s="1"/>
    </row>
    <row r="366" spans="8:15" ht="12.75" x14ac:dyDescent="0.2">
      <c r="H366" s="1"/>
      <c r="O366" s="1"/>
    </row>
    <row r="367" spans="8:15" ht="12.75" x14ac:dyDescent="0.2">
      <c r="H367" s="1"/>
      <c r="O367" s="1"/>
    </row>
    <row r="368" spans="8:15" ht="12.75" x14ac:dyDescent="0.2">
      <c r="H368" s="1"/>
      <c r="O368" s="1"/>
    </row>
    <row r="369" spans="8:15" ht="12.75" x14ac:dyDescent="0.2">
      <c r="H369" s="1"/>
      <c r="O369" s="1"/>
    </row>
    <row r="370" spans="8:15" ht="12.75" x14ac:dyDescent="0.2">
      <c r="H370" s="1"/>
      <c r="O370" s="1"/>
    </row>
    <row r="371" spans="8:15" ht="12.75" x14ac:dyDescent="0.2">
      <c r="H371" s="1"/>
      <c r="O371" s="1"/>
    </row>
    <row r="372" spans="8:15" ht="12.75" x14ac:dyDescent="0.2">
      <c r="H372" s="1"/>
      <c r="O372" s="1"/>
    </row>
    <row r="373" spans="8:15" ht="12.75" x14ac:dyDescent="0.2">
      <c r="H373" s="1"/>
      <c r="O373" s="1"/>
    </row>
    <row r="374" spans="8:15" ht="12.75" x14ac:dyDescent="0.2">
      <c r="H374" s="1"/>
      <c r="O374" s="1"/>
    </row>
    <row r="375" spans="8:15" ht="12.75" x14ac:dyDescent="0.2">
      <c r="H375" s="1"/>
      <c r="O375" s="1"/>
    </row>
    <row r="376" spans="8:15" ht="12.75" x14ac:dyDescent="0.2">
      <c r="H376" s="1"/>
      <c r="O376" s="1"/>
    </row>
    <row r="377" spans="8:15" ht="12.75" x14ac:dyDescent="0.2">
      <c r="H377" s="1"/>
      <c r="O377" s="1"/>
    </row>
    <row r="378" spans="8:15" ht="12.75" x14ac:dyDescent="0.2">
      <c r="H378" s="1"/>
      <c r="O378" s="1"/>
    </row>
    <row r="379" spans="8:15" ht="12.75" x14ac:dyDescent="0.2">
      <c r="H379" s="1"/>
      <c r="O379" s="1"/>
    </row>
    <row r="380" spans="8:15" ht="12.75" x14ac:dyDescent="0.2">
      <c r="H380" s="1"/>
      <c r="O380" s="1"/>
    </row>
    <row r="381" spans="8:15" ht="12.75" x14ac:dyDescent="0.2">
      <c r="H381" s="1"/>
      <c r="O381" s="1"/>
    </row>
    <row r="382" spans="8:15" ht="12.75" x14ac:dyDescent="0.2">
      <c r="H382" s="1"/>
      <c r="O382" s="1"/>
    </row>
    <row r="383" spans="8:15" ht="12.75" x14ac:dyDescent="0.2">
      <c r="H383" s="1"/>
      <c r="O383" s="1"/>
    </row>
    <row r="384" spans="8:15" ht="12.75" x14ac:dyDescent="0.2">
      <c r="H384" s="1"/>
      <c r="O384" s="1"/>
    </row>
    <row r="385" spans="8:15" ht="12.75" x14ac:dyDescent="0.2">
      <c r="H385" s="1"/>
      <c r="O385" s="1"/>
    </row>
    <row r="386" spans="8:15" ht="12.75" x14ac:dyDescent="0.2">
      <c r="H386" s="1"/>
      <c r="O386" s="1"/>
    </row>
    <row r="387" spans="8:15" ht="12.75" x14ac:dyDescent="0.2">
      <c r="H387" s="1"/>
      <c r="O387" s="1"/>
    </row>
    <row r="388" spans="8:15" ht="12.75" x14ac:dyDescent="0.2">
      <c r="H388" s="1"/>
      <c r="O388" s="1"/>
    </row>
    <row r="389" spans="8:15" ht="12.75" x14ac:dyDescent="0.2">
      <c r="H389" s="1"/>
      <c r="O389" s="1"/>
    </row>
    <row r="390" spans="8:15" ht="12.75" x14ac:dyDescent="0.2">
      <c r="H390" s="1"/>
      <c r="O390" s="1"/>
    </row>
    <row r="391" spans="8:15" ht="12.75" x14ac:dyDescent="0.2">
      <c r="H391" s="1"/>
      <c r="O391" s="1"/>
    </row>
    <row r="392" spans="8:15" ht="12.75" x14ac:dyDescent="0.2">
      <c r="H392" s="1"/>
      <c r="O392" s="1"/>
    </row>
    <row r="393" spans="8:15" ht="12.75" x14ac:dyDescent="0.2">
      <c r="H393" s="1"/>
      <c r="O393" s="1"/>
    </row>
    <row r="394" spans="8:15" ht="12.75" x14ac:dyDescent="0.2">
      <c r="H394" s="1"/>
      <c r="O394" s="1"/>
    </row>
    <row r="395" spans="8:15" ht="12.75" x14ac:dyDescent="0.2">
      <c r="H395" s="1"/>
      <c r="O395" s="1"/>
    </row>
    <row r="396" spans="8:15" ht="12.75" x14ac:dyDescent="0.2">
      <c r="H396" s="1"/>
      <c r="O396" s="1"/>
    </row>
    <row r="397" spans="8:15" ht="12.75" x14ac:dyDescent="0.2">
      <c r="H397" s="1"/>
      <c r="O397" s="1"/>
    </row>
    <row r="398" spans="8:15" ht="12.75" x14ac:dyDescent="0.2">
      <c r="H398" s="1"/>
      <c r="O398" s="1"/>
    </row>
    <row r="399" spans="8:15" ht="12.75" x14ac:dyDescent="0.2">
      <c r="H399" s="1"/>
      <c r="O399" s="1"/>
    </row>
    <row r="400" spans="8:15" ht="12.75" x14ac:dyDescent="0.2">
      <c r="H400" s="1"/>
      <c r="O400" s="1"/>
    </row>
    <row r="401" spans="8:15" ht="12.75" x14ac:dyDescent="0.2">
      <c r="H401" s="1"/>
      <c r="O401" s="1"/>
    </row>
    <row r="402" spans="8:15" ht="12.75" x14ac:dyDescent="0.2">
      <c r="H402" s="1"/>
      <c r="O402" s="1"/>
    </row>
    <row r="403" spans="8:15" ht="12.75" x14ac:dyDescent="0.2">
      <c r="H403" s="1"/>
      <c r="O403" s="1"/>
    </row>
    <row r="404" spans="8:15" ht="12.75" x14ac:dyDescent="0.2">
      <c r="H404" s="1"/>
      <c r="O404" s="1"/>
    </row>
    <row r="405" spans="8:15" ht="12.75" x14ac:dyDescent="0.2">
      <c r="H405" s="1"/>
      <c r="O405" s="1"/>
    </row>
    <row r="406" spans="8:15" ht="12.75" x14ac:dyDescent="0.2">
      <c r="H406" s="1"/>
      <c r="O406" s="1"/>
    </row>
    <row r="407" spans="8:15" ht="12.75" x14ac:dyDescent="0.2">
      <c r="H407" s="1"/>
      <c r="O407" s="1"/>
    </row>
    <row r="408" spans="8:15" ht="12.75" x14ac:dyDescent="0.2">
      <c r="H408" s="1"/>
      <c r="O408" s="1"/>
    </row>
    <row r="409" spans="8:15" ht="12.75" x14ac:dyDescent="0.2">
      <c r="H409" s="1"/>
      <c r="O409" s="1"/>
    </row>
    <row r="410" spans="8:15" ht="12.75" x14ac:dyDescent="0.2">
      <c r="H410" s="1"/>
      <c r="O410" s="1"/>
    </row>
    <row r="411" spans="8:15" ht="12.75" x14ac:dyDescent="0.2">
      <c r="H411" s="1"/>
      <c r="O411" s="1"/>
    </row>
    <row r="412" spans="8:15" ht="12.75" x14ac:dyDescent="0.2">
      <c r="H412" s="1"/>
      <c r="O412" s="1"/>
    </row>
    <row r="413" spans="8:15" ht="12.75" x14ac:dyDescent="0.2">
      <c r="H413" s="1"/>
      <c r="O413" s="1"/>
    </row>
    <row r="414" spans="8:15" ht="12.75" x14ac:dyDescent="0.2">
      <c r="H414" s="1"/>
      <c r="O414" s="1"/>
    </row>
    <row r="415" spans="8:15" ht="12.75" x14ac:dyDescent="0.2">
      <c r="H415" s="1"/>
      <c r="O415" s="1"/>
    </row>
    <row r="416" spans="8:15" ht="12.75" x14ac:dyDescent="0.2">
      <c r="H416" s="1"/>
      <c r="O416" s="1"/>
    </row>
    <row r="417" spans="8:15" ht="12.75" x14ac:dyDescent="0.2">
      <c r="H417" s="1"/>
      <c r="O417" s="1"/>
    </row>
    <row r="418" spans="8:15" ht="12.75" x14ac:dyDescent="0.2">
      <c r="H418" s="1"/>
      <c r="O418" s="1"/>
    </row>
    <row r="419" spans="8:15" ht="12.75" x14ac:dyDescent="0.2">
      <c r="H419" s="1"/>
      <c r="O419" s="1"/>
    </row>
    <row r="420" spans="8:15" ht="12.75" x14ac:dyDescent="0.2">
      <c r="H420" s="1"/>
      <c r="O420" s="1"/>
    </row>
    <row r="421" spans="8:15" ht="12.75" x14ac:dyDescent="0.2">
      <c r="H421" s="1"/>
      <c r="O421" s="1"/>
    </row>
    <row r="422" spans="8:15" ht="12.75" x14ac:dyDescent="0.2">
      <c r="H422" s="1"/>
      <c r="O422" s="1"/>
    </row>
    <row r="423" spans="8:15" ht="12.75" x14ac:dyDescent="0.2">
      <c r="H423" s="1"/>
      <c r="O423" s="1"/>
    </row>
    <row r="424" spans="8:15" ht="12.75" x14ac:dyDescent="0.2">
      <c r="H424" s="1"/>
      <c r="O424" s="1"/>
    </row>
    <row r="425" spans="8:15" ht="12.75" x14ac:dyDescent="0.2">
      <c r="H425" s="1"/>
      <c r="O425" s="1"/>
    </row>
    <row r="426" spans="8:15" ht="12.75" x14ac:dyDescent="0.2">
      <c r="H426" s="1"/>
      <c r="O426" s="1"/>
    </row>
    <row r="427" spans="8:15" ht="12.75" x14ac:dyDescent="0.2">
      <c r="H427" s="1"/>
      <c r="O427" s="1"/>
    </row>
    <row r="428" spans="8:15" ht="12.75" x14ac:dyDescent="0.2">
      <c r="H428" s="1"/>
      <c r="O428" s="1"/>
    </row>
    <row r="429" spans="8:15" ht="12.75" x14ac:dyDescent="0.2">
      <c r="H429" s="1"/>
      <c r="O429" s="1"/>
    </row>
    <row r="430" spans="8:15" ht="12.75" x14ac:dyDescent="0.2">
      <c r="H430" s="1"/>
      <c r="O430" s="1"/>
    </row>
    <row r="431" spans="8:15" ht="12.75" x14ac:dyDescent="0.2">
      <c r="H431" s="1"/>
      <c r="O431" s="1"/>
    </row>
    <row r="432" spans="8:15" ht="12.75" x14ac:dyDescent="0.2">
      <c r="H432" s="1"/>
      <c r="O432" s="1"/>
    </row>
    <row r="433" spans="8:15" ht="12.75" x14ac:dyDescent="0.2">
      <c r="H433" s="1"/>
      <c r="O433" s="1"/>
    </row>
    <row r="434" spans="8:15" ht="12.75" x14ac:dyDescent="0.2">
      <c r="H434" s="1"/>
      <c r="O434" s="1"/>
    </row>
    <row r="435" spans="8:15" ht="12.75" x14ac:dyDescent="0.2">
      <c r="H435" s="1"/>
      <c r="O435" s="1"/>
    </row>
    <row r="436" spans="8:15" ht="12.75" x14ac:dyDescent="0.2">
      <c r="H436" s="1"/>
      <c r="O436" s="1"/>
    </row>
    <row r="437" spans="8:15" ht="12.75" x14ac:dyDescent="0.2">
      <c r="H437" s="1"/>
      <c r="O437" s="1"/>
    </row>
    <row r="438" spans="8:15" ht="12.75" x14ac:dyDescent="0.2">
      <c r="H438" s="1"/>
      <c r="O438" s="1"/>
    </row>
    <row r="439" spans="8:15" ht="12.75" x14ac:dyDescent="0.2">
      <c r="H439" s="1"/>
      <c r="O439" s="1"/>
    </row>
    <row r="440" spans="8:15" ht="12.75" x14ac:dyDescent="0.2">
      <c r="H440" s="1"/>
      <c r="O440" s="1"/>
    </row>
    <row r="441" spans="8:15" ht="12.75" x14ac:dyDescent="0.2">
      <c r="H441" s="1"/>
      <c r="O441" s="1"/>
    </row>
    <row r="442" spans="8:15" ht="12.75" x14ac:dyDescent="0.2">
      <c r="H442" s="1"/>
      <c r="O442" s="1"/>
    </row>
    <row r="443" spans="8:15" ht="12.75" x14ac:dyDescent="0.2">
      <c r="H443" s="1"/>
      <c r="O443" s="1"/>
    </row>
    <row r="444" spans="8:15" ht="12.75" x14ac:dyDescent="0.2">
      <c r="H444" s="1"/>
      <c r="O444" s="1"/>
    </row>
    <row r="445" spans="8:15" ht="12.75" x14ac:dyDescent="0.2">
      <c r="H445" s="1"/>
      <c r="O445" s="1"/>
    </row>
    <row r="446" spans="8:15" ht="12.75" x14ac:dyDescent="0.2">
      <c r="H446" s="1"/>
      <c r="O446" s="1"/>
    </row>
    <row r="447" spans="8:15" ht="12.75" x14ac:dyDescent="0.2">
      <c r="H447" s="1"/>
      <c r="O447" s="1"/>
    </row>
    <row r="448" spans="8:15" ht="12.75" x14ac:dyDescent="0.2">
      <c r="H448" s="1"/>
      <c r="O448" s="1"/>
    </row>
    <row r="449" spans="8:15" ht="12.75" x14ac:dyDescent="0.2">
      <c r="H449" s="1"/>
      <c r="O449" s="1"/>
    </row>
    <row r="450" spans="8:15" ht="12.75" x14ac:dyDescent="0.2">
      <c r="H450" s="1"/>
      <c r="O450" s="1"/>
    </row>
    <row r="451" spans="8:15" ht="12.75" x14ac:dyDescent="0.2">
      <c r="H451" s="1"/>
      <c r="O451" s="1"/>
    </row>
    <row r="452" spans="8:15" ht="12.75" x14ac:dyDescent="0.2">
      <c r="H452" s="1"/>
      <c r="O452" s="1"/>
    </row>
    <row r="453" spans="8:15" ht="12.75" x14ac:dyDescent="0.2">
      <c r="H453" s="1"/>
      <c r="O453" s="1"/>
    </row>
    <row r="454" spans="8:15" ht="12.75" x14ac:dyDescent="0.2">
      <c r="H454" s="1"/>
      <c r="O454" s="1"/>
    </row>
    <row r="455" spans="8:15" ht="12.75" x14ac:dyDescent="0.2">
      <c r="H455" s="1"/>
      <c r="O455" s="1"/>
    </row>
    <row r="456" spans="8:15" ht="12.75" x14ac:dyDescent="0.2">
      <c r="H456" s="1"/>
      <c r="O456" s="1"/>
    </row>
    <row r="457" spans="8:15" ht="12.75" x14ac:dyDescent="0.2">
      <c r="H457" s="1"/>
      <c r="O457" s="1"/>
    </row>
    <row r="458" spans="8:15" ht="12.75" x14ac:dyDescent="0.2">
      <c r="H458" s="1"/>
      <c r="O458" s="1"/>
    </row>
    <row r="459" spans="8:15" ht="12.75" x14ac:dyDescent="0.2">
      <c r="H459" s="1"/>
      <c r="O459" s="1"/>
    </row>
    <row r="460" spans="8:15" ht="12.75" x14ac:dyDescent="0.2">
      <c r="H460" s="1"/>
      <c r="O460" s="1"/>
    </row>
    <row r="461" spans="8:15" ht="12.75" x14ac:dyDescent="0.2">
      <c r="H461" s="1"/>
      <c r="O461" s="1"/>
    </row>
    <row r="462" spans="8:15" ht="12.75" x14ac:dyDescent="0.2">
      <c r="H462" s="1"/>
      <c r="O462" s="1"/>
    </row>
    <row r="463" spans="8:15" ht="12.75" x14ac:dyDescent="0.2">
      <c r="H463" s="1"/>
      <c r="O463" s="1"/>
    </row>
    <row r="464" spans="8:15" ht="12.75" x14ac:dyDescent="0.2">
      <c r="H464" s="1"/>
      <c r="O464" s="1"/>
    </row>
    <row r="465" spans="8:15" ht="12.75" x14ac:dyDescent="0.2">
      <c r="H465" s="1"/>
      <c r="O465" s="1"/>
    </row>
    <row r="466" spans="8:15" ht="12.75" x14ac:dyDescent="0.2">
      <c r="H466" s="1"/>
      <c r="O466" s="1"/>
    </row>
    <row r="467" spans="8:15" ht="12.75" x14ac:dyDescent="0.2">
      <c r="H467" s="1"/>
      <c r="O467" s="1"/>
    </row>
    <row r="468" spans="8:15" ht="12.75" x14ac:dyDescent="0.2">
      <c r="H468" s="1"/>
      <c r="O468" s="1"/>
    </row>
    <row r="469" spans="8:15" ht="12.75" x14ac:dyDescent="0.2">
      <c r="H469" s="1"/>
      <c r="O469" s="1"/>
    </row>
    <row r="470" spans="8:15" ht="12.75" x14ac:dyDescent="0.2">
      <c r="H470" s="1"/>
      <c r="O470" s="1"/>
    </row>
    <row r="471" spans="8:15" ht="12.75" x14ac:dyDescent="0.2">
      <c r="H471" s="1"/>
      <c r="O471" s="1"/>
    </row>
    <row r="472" spans="8:15" ht="12.75" x14ac:dyDescent="0.2">
      <c r="H472" s="1"/>
      <c r="O472" s="1"/>
    </row>
    <row r="473" spans="8:15" ht="12.75" x14ac:dyDescent="0.2">
      <c r="H473" s="1"/>
      <c r="O473" s="1"/>
    </row>
    <row r="474" spans="8:15" ht="12.75" x14ac:dyDescent="0.2">
      <c r="H474" s="1"/>
      <c r="O474" s="1"/>
    </row>
    <row r="475" spans="8:15" ht="12.75" x14ac:dyDescent="0.2">
      <c r="H475" s="1"/>
      <c r="O475" s="1"/>
    </row>
    <row r="476" spans="8:15" ht="12.75" x14ac:dyDescent="0.2">
      <c r="H476" s="1"/>
      <c r="O476" s="1"/>
    </row>
    <row r="477" spans="8:15" ht="12.75" x14ac:dyDescent="0.2">
      <c r="H477" s="1"/>
      <c r="O477" s="1"/>
    </row>
    <row r="478" spans="8:15" ht="12.75" x14ac:dyDescent="0.2">
      <c r="H478" s="1"/>
      <c r="O478" s="1"/>
    </row>
    <row r="479" spans="8:15" ht="12.75" x14ac:dyDescent="0.2">
      <c r="H479" s="1"/>
      <c r="O479" s="1"/>
    </row>
    <row r="480" spans="8:15" ht="12.75" x14ac:dyDescent="0.2">
      <c r="H480" s="1"/>
      <c r="O480" s="1"/>
    </row>
    <row r="481" spans="8:15" ht="12.75" x14ac:dyDescent="0.2">
      <c r="H481" s="1"/>
      <c r="O481" s="1"/>
    </row>
    <row r="482" spans="8:15" ht="12.75" x14ac:dyDescent="0.2">
      <c r="H482" s="1"/>
      <c r="O482" s="1"/>
    </row>
    <row r="483" spans="8:15" ht="12.75" x14ac:dyDescent="0.2">
      <c r="H483" s="1"/>
      <c r="O483" s="1"/>
    </row>
    <row r="484" spans="8:15" ht="12.75" x14ac:dyDescent="0.2">
      <c r="H484" s="1"/>
      <c r="O484" s="1"/>
    </row>
    <row r="485" spans="8:15" ht="12.75" x14ac:dyDescent="0.2">
      <c r="H485" s="1"/>
      <c r="O485" s="1"/>
    </row>
    <row r="486" spans="8:15" ht="12.75" x14ac:dyDescent="0.2">
      <c r="H486" s="1"/>
      <c r="O486" s="1"/>
    </row>
    <row r="487" spans="8:15" ht="12.75" x14ac:dyDescent="0.2">
      <c r="H487" s="1"/>
      <c r="O487" s="1"/>
    </row>
    <row r="488" spans="8:15" ht="12.75" x14ac:dyDescent="0.2">
      <c r="H488" s="1"/>
      <c r="O488" s="1"/>
    </row>
    <row r="489" spans="8:15" ht="12.75" x14ac:dyDescent="0.2">
      <c r="H489" s="1"/>
      <c r="O489" s="1"/>
    </row>
    <row r="490" spans="8:15" ht="12.75" x14ac:dyDescent="0.2">
      <c r="H490" s="1"/>
      <c r="O490" s="1"/>
    </row>
    <row r="491" spans="8:15" ht="12.75" x14ac:dyDescent="0.2">
      <c r="H491" s="1"/>
      <c r="O491" s="1"/>
    </row>
    <row r="492" spans="8:15" ht="12.75" x14ac:dyDescent="0.2">
      <c r="H492" s="1"/>
      <c r="O492" s="1"/>
    </row>
    <row r="493" spans="8:15" ht="12.75" x14ac:dyDescent="0.2">
      <c r="H493" s="1"/>
      <c r="O493" s="1"/>
    </row>
    <row r="494" spans="8:15" ht="12.75" x14ac:dyDescent="0.2">
      <c r="H494" s="1"/>
      <c r="O494" s="1"/>
    </row>
    <row r="495" spans="8:15" ht="12.75" x14ac:dyDescent="0.2">
      <c r="H495" s="1"/>
      <c r="O495" s="1"/>
    </row>
    <row r="496" spans="8:15" ht="12.75" x14ac:dyDescent="0.2">
      <c r="H496" s="1"/>
      <c r="O496" s="1"/>
    </row>
    <row r="497" spans="8:15" ht="12.75" x14ac:dyDescent="0.2">
      <c r="H497" s="1"/>
      <c r="O497" s="1"/>
    </row>
    <row r="498" spans="8:15" ht="12.75" x14ac:dyDescent="0.2">
      <c r="H498" s="1"/>
      <c r="O498" s="1"/>
    </row>
    <row r="499" spans="8:15" ht="12.75" x14ac:dyDescent="0.2">
      <c r="H499" s="1"/>
      <c r="O499" s="1"/>
    </row>
    <row r="500" spans="8:15" ht="12.75" x14ac:dyDescent="0.2">
      <c r="H500" s="1"/>
      <c r="O500" s="1"/>
    </row>
    <row r="501" spans="8:15" ht="12.75" x14ac:dyDescent="0.2">
      <c r="H501" s="1"/>
      <c r="O501" s="1"/>
    </row>
    <row r="502" spans="8:15" ht="12.75" x14ac:dyDescent="0.2">
      <c r="H502" s="1"/>
      <c r="O502" s="1"/>
    </row>
    <row r="503" spans="8:15" ht="12.75" x14ac:dyDescent="0.2">
      <c r="H503" s="1"/>
      <c r="O503" s="1"/>
    </row>
    <row r="504" spans="8:15" ht="12.75" x14ac:dyDescent="0.2">
      <c r="H504" s="1"/>
      <c r="O504" s="1"/>
    </row>
    <row r="505" spans="8:15" ht="12.75" x14ac:dyDescent="0.2">
      <c r="H505" s="1"/>
      <c r="O505" s="1"/>
    </row>
    <row r="506" spans="8:15" ht="12.75" x14ac:dyDescent="0.2">
      <c r="H506" s="1"/>
      <c r="O506" s="1"/>
    </row>
    <row r="507" spans="8:15" ht="12.75" x14ac:dyDescent="0.2">
      <c r="H507" s="1"/>
      <c r="O507" s="1"/>
    </row>
    <row r="508" spans="8:15" ht="12.75" x14ac:dyDescent="0.2">
      <c r="H508" s="1"/>
      <c r="O508" s="1"/>
    </row>
    <row r="509" spans="8:15" ht="12.75" x14ac:dyDescent="0.2">
      <c r="H509" s="1"/>
      <c r="O509" s="1"/>
    </row>
    <row r="510" spans="8:15" ht="12.75" x14ac:dyDescent="0.2">
      <c r="H510" s="1"/>
      <c r="O510" s="1"/>
    </row>
    <row r="511" spans="8:15" ht="12.75" x14ac:dyDescent="0.2">
      <c r="H511" s="1"/>
      <c r="O511" s="1"/>
    </row>
    <row r="512" spans="8:15" ht="12.75" x14ac:dyDescent="0.2">
      <c r="H512" s="1"/>
      <c r="O512" s="1"/>
    </row>
    <row r="513" spans="8:15" ht="12.75" x14ac:dyDescent="0.2">
      <c r="H513" s="1"/>
      <c r="O513" s="1"/>
    </row>
    <row r="514" spans="8:15" ht="12.75" x14ac:dyDescent="0.2">
      <c r="H514" s="1"/>
      <c r="O514" s="1"/>
    </row>
    <row r="515" spans="8:15" ht="12.75" x14ac:dyDescent="0.2">
      <c r="H515" s="1"/>
      <c r="O515" s="1"/>
    </row>
    <row r="516" spans="8:15" ht="12.75" x14ac:dyDescent="0.2">
      <c r="H516" s="1"/>
      <c r="O516" s="1"/>
    </row>
    <row r="517" spans="8:15" ht="12.75" x14ac:dyDescent="0.2">
      <c r="H517" s="1"/>
      <c r="O517" s="1"/>
    </row>
    <row r="518" spans="8:15" ht="12.75" x14ac:dyDescent="0.2">
      <c r="H518" s="1"/>
      <c r="O518" s="1"/>
    </row>
    <row r="519" spans="8:15" ht="12.75" x14ac:dyDescent="0.2">
      <c r="H519" s="1"/>
      <c r="O519" s="1"/>
    </row>
    <row r="520" spans="8:15" ht="12.75" x14ac:dyDescent="0.2">
      <c r="H520" s="1"/>
      <c r="O520" s="1"/>
    </row>
    <row r="521" spans="8:15" ht="12.75" x14ac:dyDescent="0.2">
      <c r="H521" s="1"/>
      <c r="O521" s="1"/>
    </row>
    <row r="522" spans="8:15" ht="12.75" x14ac:dyDescent="0.2">
      <c r="H522" s="1"/>
      <c r="O522" s="1"/>
    </row>
    <row r="523" spans="8:15" ht="12.75" x14ac:dyDescent="0.2">
      <c r="H523" s="1"/>
      <c r="O523" s="1"/>
    </row>
    <row r="524" spans="8:15" ht="12.75" x14ac:dyDescent="0.2">
      <c r="H524" s="1"/>
      <c r="O524" s="1"/>
    </row>
    <row r="525" spans="8:15" ht="12.75" x14ac:dyDescent="0.2">
      <c r="H525" s="1"/>
      <c r="O525" s="1"/>
    </row>
    <row r="526" spans="8:15" ht="12.75" x14ac:dyDescent="0.2">
      <c r="H526" s="1"/>
      <c r="O526" s="1"/>
    </row>
    <row r="527" spans="8:15" ht="12.75" x14ac:dyDescent="0.2">
      <c r="H527" s="1"/>
      <c r="O527" s="1"/>
    </row>
    <row r="528" spans="8:15" ht="12.75" x14ac:dyDescent="0.2">
      <c r="H528" s="1"/>
      <c r="O528" s="1"/>
    </row>
    <row r="529" spans="8:15" ht="12.75" x14ac:dyDescent="0.2">
      <c r="H529" s="1"/>
      <c r="O529" s="1"/>
    </row>
    <row r="530" spans="8:15" ht="12.75" x14ac:dyDescent="0.2">
      <c r="H530" s="1"/>
      <c r="O530" s="1"/>
    </row>
    <row r="531" spans="8:15" ht="12.75" x14ac:dyDescent="0.2">
      <c r="H531" s="1"/>
      <c r="O531" s="1"/>
    </row>
    <row r="532" spans="8:15" ht="12.75" x14ac:dyDescent="0.2">
      <c r="H532" s="1"/>
      <c r="O532" s="1"/>
    </row>
    <row r="533" spans="8:15" ht="12.75" x14ac:dyDescent="0.2">
      <c r="H533" s="1"/>
      <c r="O533" s="1"/>
    </row>
    <row r="534" spans="8:15" ht="12.75" x14ac:dyDescent="0.2">
      <c r="H534" s="1"/>
      <c r="O534" s="1"/>
    </row>
    <row r="535" spans="8:15" ht="12.75" x14ac:dyDescent="0.2">
      <c r="H535" s="1"/>
      <c r="O535" s="1"/>
    </row>
    <row r="536" spans="8:15" ht="12.75" x14ac:dyDescent="0.2">
      <c r="H536" s="1"/>
      <c r="O536" s="1"/>
    </row>
    <row r="537" spans="8:15" ht="12.75" x14ac:dyDescent="0.2">
      <c r="H537" s="1"/>
      <c r="O537" s="1"/>
    </row>
    <row r="538" spans="8:15" ht="12.75" x14ac:dyDescent="0.2">
      <c r="H538" s="1"/>
      <c r="O538" s="1"/>
    </row>
    <row r="539" spans="8:15" ht="12.75" x14ac:dyDescent="0.2">
      <c r="H539" s="1"/>
      <c r="O539" s="1"/>
    </row>
    <row r="540" spans="8:15" ht="12.75" x14ac:dyDescent="0.2">
      <c r="H540" s="1"/>
      <c r="O540" s="1"/>
    </row>
    <row r="541" spans="8:15" ht="12.75" x14ac:dyDescent="0.2">
      <c r="H541" s="1"/>
      <c r="O541" s="1"/>
    </row>
    <row r="542" spans="8:15" ht="12.75" x14ac:dyDescent="0.2">
      <c r="H542" s="1"/>
      <c r="O542" s="1"/>
    </row>
    <row r="543" spans="8:15" ht="12.75" x14ac:dyDescent="0.2">
      <c r="H543" s="1"/>
      <c r="O543" s="1"/>
    </row>
    <row r="544" spans="8:15" ht="12.75" x14ac:dyDescent="0.2">
      <c r="H544" s="1"/>
      <c r="O544" s="1"/>
    </row>
    <row r="545" spans="8:15" ht="12.75" x14ac:dyDescent="0.2">
      <c r="H545" s="1"/>
      <c r="O545" s="1"/>
    </row>
    <row r="546" spans="8:15" ht="12.75" x14ac:dyDescent="0.2">
      <c r="H546" s="1"/>
      <c r="O546" s="1"/>
    </row>
    <row r="547" spans="8:15" ht="12.75" x14ac:dyDescent="0.2">
      <c r="H547" s="1"/>
      <c r="O547" s="1"/>
    </row>
    <row r="548" spans="8:15" ht="12.75" x14ac:dyDescent="0.2">
      <c r="H548" s="1"/>
      <c r="O548" s="1"/>
    </row>
    <row r="549" spans="8:15" ht="12.75" x14ac:dyDescent="0.2">
      <c r="H549" s="1"/>
      <c r="O549" s="1"/>
    </row>
    <row r="550" spans="8:15" ht="12.75" x14ac:dyDescent="0.2">
      <c r="H550" s="1"/>
      <c r="O550" s="1"/>
    </row>
    <row r="551" spans="8:15" ht="12.75" x14ac:dyDescent="0.2">
      <c r="H551" s="1"/>
      <c r="O551" s="1"/>
    </row>
    <row r="552" spans="8:15" ht="12.75" x14ac:dyDescent="0.2">
      <c r="H552" s="1"/>
      <c r="O552" s="1"/>
    </row>
    <row r="553" spans="8:15" ht="12.75" x14ac:dyDescent="0.2">
      <c r="H553" s="1"/>
      <c r="O553" s="1"/>
    </row>
    <row r="554" spans="8:15" ht="12.75" x14ac:dyDescent="0.2">
      <c r="H554" s="1"/>
      <c r="O554" s="1"/>
    </row>
    <row r="555" spans="8:15" ht="12.75" x14ac:dyDescent="0.2">
      <c r="H555" s="1"/>
      <c r="O555" s="1"/>
    </row>
    <row r="556" spans="8:15" ht="12.75" x14ac:dyDescent="0.2">
      <c r="H556" s="1"/>
      <c r="O556" s="1"/>
    </row>
    <row r="557" spans="8:15" ht="12.75" x14ac:dyDescent="0.2">
      <c r="H557" s="1"/>
      <c r="O557" s="1"/>
    </row>
    <row r="558" spans="8:15" ht="12.75" x14ac:dyDescent="0.2">
      <c r="H558" s="1"/>
      <c r="O558" s="1"/>
    </row>
    <row r="559" spans="8:15" ht="12.75" x14ac:dyDescent="0.2">
      <c r="H559" s="1"/>
      <c r="O559" s="1"/>
    </row>
    <row r="560" spans="8:15" ht="12.75" x14ac:dyDescent="0.2">
      <c r="H560" s="1"/>
      <c r="O560" s="1"/>
    </row>
    <row r="561" spans="8:15" ht="12.75" x14ac:dyDescent="0.2">
      <c r="H561" s="1"/>
      <c r="O561" s="1"/>
    </row>
    <row r="562" spans="8:15" ht="12.75" x14ac:dyDescent="0.2">
      <c r="H562" s="1"/>
      <c r="O562" s="1"/>
    </row>
    <row r="563" spans="8:15" ht="12.75" x14ac:dyDescent="0.2">
      <c r="H563" s="1"/>
      <c r="O563" s="1"/>
    </row>
    <row r="564" spans="8:15" ht="12.75" x14ac:dyDescent="0.2">
      <c r="H564" s="1"/>
      <c r="O564" s="1"/>
    </row>
    <row r="565" spans="8:15" ht="12.75" x14ac:dyDescent="0.2">
      <c r="H565" s="1"/>
      <c r="O565" s="1"/>
    </row>
    <row r="566" spans="8:15" ht="12.75" x14ac:dyDescent="0.2">
      <c r="H566" s="1"/>
      <c r="O566" s="1"/>
    </row>
    <row r="567" spans="8:15" ht="12.75" x14ac:dyDescent="0.2">
      <c r="H567" s="1"/>
      <c r="O567" s="1"/>
    </row>
    <row r="568" spans="8:15" ht="12.75" x14ac:dyDescent="0.2">
      <c r="H568" s="1"/>
      <c r="O568" s="1"/>
    </row>
    <row r="569" spans="8:15" ht="12.75" x14ac:dyDescent="0.2">
      <c r="H569" s="1"/>
      <c r="O569" s="1"/>
    </row>
    <row r="570" spans="8:15" ht="12.75" x14ac:dyDescent="0.2">
      <c r="H570" s="1"/>
      <c r="O570" s="1"/>
    </row>
    <row r="571" spans="8:15" ht="12.75" x14ac:dyDescent="0.2">
      <c r="H571" s="1"/>
      <c r="O571" s="1"/>
    </row>
    <row r="572" spans="8:15" ht="12.75" x14ac:dyDescent="0.2">
      <c r="H572" s="1"/>
      <c r="O572" s="1"/>
    </row>
    <row r="573" spans="8:15" ht="12.75" x14ac:dyDescent="0.2">
      <c r="H573" s="1"/>
      <c r="O573" s="1"/>
    </row>
    <row r="574" spans="8:15" ht="12.75" x14ac:dyDescent="0.2">
      <c r="H574" s="1"/>
      <c r="O574" s="1"/>
    </row>
    <row r="575" spans="8:15" ht="12.75" x14ac:dyDescent="0.2">
      <c r="H575" s="1"/>
      <c r="O575" s="1"/>
    </row>
    <row r="576" spans="8:15" ht="12.75" x14ac:dyDescent="0.2">
      <c r="H576" s="1"/>
      <c r="O576" s="1"/>
    </row>
    <row r="577" spans="8:15" ht="12.75" x14ac:dyDescent="0.2">
      <c r="H577" s="1"/>
      <c r="O577" s="1"/>
    </row>
    <row r="578" spans="8:15" ht="12.75" x14ac:dyDescent="0.2">
      <c r="H578" s="1"/>
      <c r="O578" s="1"/>
    </row>
    <row r="579" spans="8:15" ht="12.75" x14ac:dyDescent="0.2">
      <c r="H579" s="1"/>
      <c r="O579" s="1"/>
    </row>
    <row r="580" spans="8:15" ht="12.75" x14ac:dyDescent="0.2">
      <c r="H580" s="1"/>
      <c r="O580" s="1"/>
    </row>
    <row r="581" spans="8:15" ht="12.75" x14ac:dyDescent="0.2">
      <c r="H581" s="1"/>
      <c r="O581" s="1"/>
    </row>
    <row r="582" spans="8:15" ht="12.75" x14ac:dyDescent="0.2">
      <c r="H582" s="1"/>
      <c r="O582" s="1"/>
    </row>
    <row r="583" spans="8:15" ht="12.75" x14ac:dyDescent="0.2">
      <c r="H583" s="1"/>
      <c r="O583" s="1"/>
    </row>
    <row r="584" spans="8:15" ht="12.75" x14ac:dyDescent="0.2">
      <c r="H584" s="1"/>
      <c r="O584" s="1"/>
    </row>
    <row r="585" spans="8:15" ht="12.75" x14ac:dyDescent="0.2">
      <c r="H585" s="1"/>
      <c r="O585" s="1"/>
    </row>
    <row r="586" spans="8:15" ht="12.75" x14ac:dyDescent="0.2">
      <c r="H586" s="1"/>
      <c r="O586" s="1"/>
    </row>
    <row r="587" spans="8:15" ht="12.75" x14ac:dyDescent="0.2">
      <c r="H587" s="1"/>
      <c r="O587" s="1"/>
    </row>
    <row r="588" spans="8:15" ht="12.75" x14ac:dyDescent="0.2">
      <c r="H588" s="1"/>
      <c r="O588" s="1"/>
    </row>
    <row r="589" spans="8:15" ht="12.75" x14ac:dyDescent="0.2">
      <c r="H589" s="1"/>
      <c r="O589" s="1"/>
    </row>
    <row r="590" spans="8:15" ht="12.75" x14ac:dyDescent="0.2">
      <c r="H590" s="1"/>
      <c r="O590" s="1"/>
    </row>
    <row r="591" spans="8:15" ht="12.75" x14ac:dyDescent="0.2">
      <c r="H591" s="1"/>
      <c r="O591" s="1"/>
    </row>
    <row r="592" spans="8:15" ht="12.75" x14ac:dyDescent="0.2">
      <c r="H592" s="1"/>
      <c r="O592" s="1"/>
    </row>
    <row r="593" spans="8:15" ht="12.75" x14ac:dyDescent="0.2">
      <c r="H593" s="1"/>
      <c r="O593" s="1"/>
    </row>
    <row r="594" spans="8:15" ht="12.75" x14ac:dyDescent="0.2">
      <c r="H594" s="1"/>
      <c r="O594" s="1"/>
    </row>
    <row r="595" spans="8:15" ht="12.75" x14ac:dyDescent="0.2">
      <c r="H595" s="1"/>
      <c r="O595" s="1"/>
    </row>
    <row r="596" spans="8:15" ht="12.75" x14ac:dyDescent="0.2">
      <c r="H596" s="1"/>
      <c r="O596" s="1"/>
    </row>
    <row r="597" spans="8:15" ht="12.75" x14ac:dyDescent="0.2">
      <c r="H597" s="1"/>
      <c r="O597" s="1"/>
    </row>
    <row r="598" spans="8:15" ht="12.75" x14ac:dyDescent="0.2">
      <c r="H598" s="1"/>
      <c r="O598" s="1"/>
    </row>
    <row r="599" spans="8:15" ht="12.75" x14ac:dyDescent="0.2">
      <c r="H599" s="1"/>
      <c r="O599" s="1"/>
    </row>
    <row r="600" spans="8:15" ht="12.75" x14ac:dyDescent="0.2">
      <c r="H600" s="1"/>
      <c r="O600" s="1"/>
    </row>
    <row r="601" spans="8:15" ht="12.75" x14ac:dyDescent="0.2">
      <c r="H601" s="1"/>
      <c r="O601" s="1"/>
    </row>
    <row r="602" spans="8:15" ht="12.75" x14ac:dyDescent="0.2">
      <c r="H602" s="1"/>
      <c r="O602" s="1"/>
    </row>
    <row r="603" spans="8:15" ht="12.75" x14ac:dyDescent="0.2">
      <c r="H603" s="1"/>
      <c r="O603" s="1"/>
    </row>
    <row r="604" spans="8:15" ht="12.75" x14ac:dyDescent="0.2">
      <c r="H604" s="1"/>
      <c r="O604" s="1"/>
    </row>
    <row r="605" spans="8:15" ht="12.75" x14ac:dyDescent="0.2">
      <c r="H605" s="1"/>
      <c r="O605" s="1"/>
    </row>
    <row r="606" spans="8:15" ht="12.75" x14ac:dyDescent="0.2">
      <c r="H606" s="1"/>
      <c r="O606" s="1"/>
    </row>
    <row r="607" spans="8:15" ht="12.75" x14ac:dyDescent="0.2">
      <c r="H607" s="1"/>
      <c r="O607" s="1"/>
    </row>
    <row r="608" spans="8:15" ht="12.75" x14ac:dyDescent="0.2">
      <c r="H608" s="1"/>
      <c r="O608" s="1"/>
    </row>
    <row r="609" spans="8:15" ht="12.75" x14ac:dyDescent="0.2">
      <c r="H609" s="1"/>
      <c r="O609" s="1"/>
    </row>
    <row r="610" spans="8:15" ht="12.75" x14ac:dyDescent="0.2">
      <c r="H610" s="1"/>
      <c r="O610" s="1"/>
    </row>
    <row r="611" spans="8:15" ht="12.75" x14ac:dyDescent="0.2">
      <c r="H611" s="1"/>
      <c r="O611" s="1"/>
    </row>
    <row r="612" spans="8:15" ht="12.75" x14ac:dyDescent="0.2">
      <c r="H612" s="1"/>
      <c r="O612" s="1"/>
    </row>
    <row r="613" spans="8:15" ht="12.75" x14ac:dyDescent="0.2">
      <c r="H613" s="1"/>
      <c r="O613" s="1"/>
    </row>
    <row r="614" spans="8:15" ht="12.75" x14ac:dyDescent="0.2">
      <c r="H614" s="1"/>
      <c r="O614" s="1"/>
    </row>
    <row r="615" spans="8:15" ht="12.75" x14ac:dyDescent="0.2">
      <c r="H615" s="1"/>
      <c r="O615" s="1"/>
    </row>
    <row r="616" spans="8:15" ht="12.75" x14ac:dyDescent="0.2">
      <c r="H616" s="1"/>
      <c r="O616" s="1"/>
    </row>
    <row r="617" spans="8:15" ht="12.75" x14ac:dyDescent="0.2">
      <c r="H617" s="1"/>
      <c r="O617" s="1"/>
    </row>
    <row r="618" spans="8:15" ht="12.75" x14ac:dyDescent="0.2">
      <c r="H618" s="1"/>
      <c r="O618" s="1"/>
    </row>
    <row r="619" spans="8:15" ht="12.75" x14ac:dyDescent="0.2">
      <c r="H619" s="1"/>
      <c r="O619" s="1"/>
    </row>
    <row r="620" spans="8:15" ht="12.75" x14ac:dyDescent="0.2">
      <c r="H620" s="1"/>
      <c r="O620" s="1"/>
    </row>
    <row r="621" spans="8:15" ht="12.75" x14ac:dyDescent="0.2">
      <c r="H621" s="1"/>
      <c r="O621" s="1"/>
    </row>
    <row r="622" spans="8:15" ht="12.75" x14ac:dyDescent="0.2">
      <c r="H622" s="1"/>
      <c r="O622" s="1"/>
    </row>
    <row r="623" spans="8:15" ht="12.75" x14ac:dyDescent="0.2">
      <c r="H623" s="1"/>
      <c r="O623" s="1"/>
    </row>
    <row r="624" spans="8:15" ht="12.75" x14ac:dyDescent="0.2">
      <c r="H624" s="1"/>
      <c r="O624" s="1"/>
    </row>
    <row r="625" spans="8:15" ht="12.75" x14ac:dyDescent="0.2">
      <c r="H625" s="1"/>
      <c r="O625" s="1"/>
    </row>
    <row r="626" spans="8:15" ht="12.75" x14ac:dyDescent="0.2">
      <c r="H626" s="1"/>
      <c r="O626" s="1"/>
    </row>
    <row r="627" spans="8:15" ht="12.75" x14ac:dyDescent="0.2">
      <c r="H627" s="1"/>
      <c r="O627" s="1"/>
    </row>
    <row r="628" spans="8:15" ht="12.75" x14ac:dyDescent="0.2">
      <c r="H628" s="1"/>
      <c r="O628" s="1"/>
    </row>
    <row r="629" spans="8:15" ht="12.75" x14ac:dyDescent="0.2">
      <c r="H629" s="1"/>
      <c r="O629" s="1"/>
    </row>
    <row r="630" spans="8:15" ht="12.75" x14ac:dyDescent="0.2">
      <c r="H630" s="1"/>
      <c r="O630" s="1"/>
    </row>
    <row r="631" spans="8:15" ht="12.75" x14ac:dyDescent="0.2">
      <c r="H631" s="1"/>
      <c r="O631" s="1"/>
    </row>
    <row r="632" spans="8:15" ht="12.75" x14ac:dyDescent="0.2">
      <c r="H632" s="1"/>
      <c r="O632" s="1"/>
    </row>
    <row r="633" spans="8:15" ht="12.75" x14ac:dyDescent="0.2">
      <c r="H633" s="1"/>
      <c r="O633" s="1"/>
    </row>
    <row r="634" spans="8:15" ht="12.75" x14ac:dyDescent="0.2">
      <c r="H634" s="1"/>
      <c r="O634" s="1"/>
    </row>
    <row r="635" spans="8:15" ht="12.75" x14ac:dyDescent="0.2">
      <c r="H635" s="1"/>
      <c r="O635" s="1"/>
    </row>
    <row r="636" spans="8:15" ht="12.75" x14ac:dyDescent="0.2">
      <c r="H636" s="1"/>
      <c r="O636" s="1"/>
    </row>
    <row r="637" spans="8:15" ht="12.75" x14ac:dyDescent="0.2">
      <c r="H637" s="1"/>
      <c r="O637" s="1"/>
    </row>
    <row r="638" spans="8:15" ht="12.75" x14ac:dyDescent="0.2">
      <c r="H638" s="1"/>
      <c r="O638" s="1"/>
    </row>
    <row r="639" spans="8:15" ht="12.75" x14ac:dyDescent="0.2">
      <c r="H639" s="1"/>
      <c r="O639" s="1"/>
    </row>
    <row r="640" spans="8:15" ht="12.75" x14ac:dyDescent="0.2">
      <c r="H640" s="1"/>
      <c r="O640" s="1"/>
    </row>
    <row r="641" spans="8:15" ht="12.75" x14ac:dyDescent="0.2">
      <c r="H641" s="1"/>
      <c r="O641" s="1"/>
    </row>
    <row r="642" spans="8:15" ht="12.75" x14ac:dyDescent="0.2">
      <c r="H642" s="1"/>
      <c r="O642" s="1"/>
    </row>
    <row r="643" spans="8:15" ht="12.75" x14ac:dyDescent="0.2">
      <c r="H643" s="1"/>
      <c r="O643" s="1"/>
    </row>
    <row r="644" spans="8:15" ht="12.75" x14ac:dyDescent="0.2">
      <c r="H644" s="1"/>
      <c r="O644" s="1"/>
    </row>
    <row r="645" spans="8:15" ht="12.75" x14ac:dyDescent="0.2">
      <c r="H645" s="1"/>
      <c r="O645" s="1"/>
    </row>
    <row r="646" spans="8:15" ht="12.75" x14ac:dyDescent="0.2">
      <c r="H646" s="1"/>
      <c r="O646" s="1"/>
    </row>
    <row r="647" spans="8:15" ht="12.75" x14ac:dyDescent="0.2">
      <c r="H647" s="1"/>
      <c r="O647" s="1"/>
    </row>
    <row r="648" spans="8:15" ht="12.75" x14ac:dyDescent="0.2">
      <c r="H648" s="1"/>
      <c r="O648" s="1"/>
    </row>
    <row r="649" spans="8:15" ht="12.75" x14ac:dyDescent="0.2">
      <c r="H649" s="1"/>
      <c r="O649" s="1"/>
    </row>
    <row r="650" spans="8:15" ht="12.75" x14ac:dyDescent="0.2">
      <c r="H650" s="1"/>
      <c r="O650" s="1"/>
    </row>
    <row r="651" spans="8:15" ht="12.75" x14ac:dyDescent="0.2">
      <c r="H651" s="1"/>
      <c r="O651" s="1"/>
    </row>
    <row r="652" spans="8:15" ht="12.75" x14ac:dyDescent="0.2">
      <c r="H652" s="1"/>
      <c r="O652" s="1"/>
    </row>
    <row r="653" spans="8:15" ht="12.75" x14ac:dyDescent="0.2">
      <c r="H653" s="1"/>
      <c r="O653" s="1"/>
    </row>
    <row r="654" spans="8:15" ht="12.75" x14ac:dyDescent="0.2">
      <c r="H654" s="1"/>
      <c r="O654" s="1"/>
    </row>
    <row r="655" spans="8:15" ht="12.75" x14ac:dyDescent="0.2">
      <c r="H655" s="1"/>
      <c r="O655" s="1"/>
    </row>
    <row r="656" spans="8:15" ht="12.75" x14ac:dyDescent="0.2">
      <c r="H656" s="1"/>
      <c r="O656" s="1"/>
    </row>
    <row r="657" spans="8:15" ht="12.75" x14ac:dyDescent="0.2">
      <c r="H657" s="1"/>
      <c r="O657" s="1"/>
    </row>
    <row r="658" spans="8:15" ht="12.75" x14ac:dyDescent="0.2">
      <c r="H658" s="1"/>
      <c r="O658" s="1"/>
    </row>
    <row r="659" spans="8:15" ht="12.75" x14ac:dyDescent="0.2">
      <c r="H659" s="1"/>
      <c r="O659" s="1"/>
    </row>
    <row r="660" spans="8:15" ht="12.75" x14ac:dyDescent="0.2">
      <c r="H660" s="1"/>
      <c r="O660" s="1"/>
    </row>
    <row r="661" spans="8:15" ht="12.75" x14ac:dyDescent="0.2">
      <c r="H661" s="1"/>
      <c r="O661" s="1"/>
    </row>
    <row r="662" spans="8:15" ht="12.75" x14ac:dyDescent="0.2">
      <c r="H662" s="1"/>
      <c r="O662" s="1"/>
    </row>
    <row r="663" spans="8:15" ht="12.75" x14ac:dyDescent="0.2">
      <c r="H663" s="1"/>
      <c r="O663" s="1"/>
    </row>
    <row r="664" spans="8:15" ht="12.75" x14ac:dyDescent="0.2">
      <c r="H664" s="1"/>
      <c r="O664" s="1"/>
    </row>
    <row r="665" spans="8:15" ht="12.75" x14ac:dyDescent="0.2">
      <c r="H665" s="1"/>
      <c r="O665" s="1"/>
    </row>
    <row r="666" spans="8:15" ht="12.75" x14ac:dyDescent="0.2">
      <c r="H666" s="1"/>
      <c r="O666" s="1"/>
    </row>
    <row r="667" spans="8:15" ht="12.75" x14ac:dyDescent="0.2">
      <c r="H667" s="1"/>
      <c r="O667" s="1"/>
    </row>
    <row r="668" spans="8:15" ht="12.75" x14ac:dyDescent="0.2">
      <c r="H668" s="1"/>
      <c r="O668" s="1"/>
    </row>
    <row r="669" spans="8:15" ht="12.75" x14ac:dyDescent="0.2">
      <c r="H669" s="1"/>
      <c r="O669" s="1"/>
    </row>
    <row r="670" spans="8:15" ht="12.75" x14ac:dyDescent="0.2">
      <c r="H670" s="1"/>
      <c r="O670" s="1"/>
    </row>
    <row r="671" spans="8:15" ht="12.75" x14ac:dyDescent="0.2">
      <c r="H671" s="1"/>
      <c r="O671" s="1"/>
    </row>
    <row r="672" spans="8:15" ht="12.75" x14ac:dyDescent="0.2">
      <c r="H672" s="1"/>
      <c r="O672" s="1"/>
    </row>
    <row r="673" spans="8:15" ht="12.75" x14ac:dyDescent="0.2">
      <c r="H673" s="1"/>
      <c r="O673" s="1"/>
    </row>
    <row r="674" spans="8:15" ht="12.75" x14ac:dyDescent="0.2">
      <c r="H674" s="1"/>
      <c r="O674" s="1"/>
    </row>
    <row r="675" spans="8:15" ht="12.75" x14ac:dyDescent="0.2">
      <c r="H675" s="1"/>
      <c r="O675" s="1"/>
    </row>
    <row r="676" spans="8:15" ht="12.75" x14ac:dyDescent="0.2">
      <c r="H676" s="1"/>
      <c r="O676" s="1"/>
    </row>
    <row r="677" spans="8:15" ht="12.75" x14ac:dyDescent="0.2">
      <c r="H677" s="1"/>
      <c r="O677" s="1"/>
    </row>
    <row r="678" spans="8:15" ht="12.75" x14ac:dyDescent="0.2">
      <c r="H678" s="1"/>
      <c r="O678" s="1"/>
    </row>
    <row r="679" spans="8:15" ht="12.75" x14ac:dyDescent="0.2">
      <c r="H679" s="1"/>
      <c r="O679" s="1"/>
    </row>
    <row r="680" spans="8:15" ht="12.75" x14ac:dyDescent="0.2">
      <c r="H680" s="1"/>
      <c r="O680" s="1"/>
    </row>
    <row r="681" spans="8:15" ht="12.75" x14ac:dyDescent="0.2">
      <c r="H681" s="1"/>
      <c r="O681" s="1"/>
    </row>
    <row r="682" spans="8:15" ht="12.75" x14ac:dyDescent="0.2">
      <c r="H682" s="1"/>
      <c r="O682" s="1"/>
    </row>
    <row r="683" spans="8:15" ht="12.75" x14ac:dyDescent="0.2">
      <c r="H683" s="1"/>
      <c r="O683" s="1"/>
    </row>
    <row r="684" spans="8:15" ht="12.75" x14ac:dyDescent="0.2">
      <c r="H684" s="1"/>
      <c r="O684" s="1"/>
    </row>
    <row r="685" spans="8:15" ht="12.75" x14ac:dyDescent="0.2">
      <c r="H685" s="1"/>
      <c r="O685" s="1"/>
    </row>
    <row r="686" spans="8:15" ht="12.75" x14ac:dyDescent="0.2">
      <c r="H686" s="1"/>
      <c r="O686" s="1"/>
    </row>
    <row r="687" spans="8:15" ht="12.75" x14ac:dyDescent="0.2">
      <c r="H687" s="1"/>
      <c r="O687" s="1"/>
    </row>
    <row r="688" spans="8:15" ht="12.75" x14ac:dyDescent="0.2">
      <c r="H688" s="1"/>
      <c r="O688" s="1"/>
    </row>
    <row r="689" spans="8:15" ht="12.75" x14ac:dyDescent="0.2">
      <c r="H689" s="1"/>
      <c r="O689" s="1"/>
    </row>
    <row r="690" spans="8:15" ht="12.75" x14ac:dyDescent="0.2">
      <c r="H690" s="1"/>
      <c r="O690" s="1"/>
    </row>
    <row r="691" spans="8:15" ht="12.75" x14ac:dyDescent="0.2">
      <c r="H691" s="1"/>
      <c r="O691" s="1"/>
    </row>
    <row r="692" spans="8:15" ht="12.75" x14ac:dyDescent="0.2">
      <c r="H692" s="1"/>
      <c r="O692" s="1"/>
    </row>
    <row r="693" spans="8:15" ht="12.75" x14ac:dyDescent="0.2">
      <c r="H693" s="1"/>
      <c r="O693" s="1"/>
    </row>
    <row r="694" spans="8:15" ht="12.75" x14ac:dyDescent="0.2">
      <c r="H694" s="1"/>
      <c r="O694" s="1"/>
    </row>
    <row r="695" spans="8:15" ht="12.75" x14ac:dyDescent="0.2">
      <c r="H695" s="1"/>
      <c r="O695" s="1"/>
    </row>
    <row r="696" spans="8:15" ht="12.75" x14ac:dyDescent="0.2">
      <c r="H696" s="1"/>
      <c r="O696" s="1"/>
    </row>
    <row r="697" spans="8:15" ht="12.75" x14ac:dyDescent="0.2">
      <c r="H697" s="1"/>
      <c r="O697" s="1"/>
    </row>
    <row r="698" spans="8:15" ht="12.75" x14ac:dyDescent="0.2">
      <c r="H698" s="1"/>
      <c r="O698" s="1"/>
    </row>
    <row r="699" spans="8:15" ht="12.75" x14ac:dyDescent="0.2">
      <c r="H699" s="1"/>
      <c r="O699" s="1"/>
    </row>
    <row r="700" spans="8:15" ht="12.75" x14ac:dyDescent="0.2">
      <c r="H700" s="1"/>
      <c r="O700" s="1"/>
    </row>
    <row r="701" spans="8:15" ht="12.75" x14ac:dyDescent="0.2">
      <c r="H701" s="1"/>
      <c r="O701" s="1"/>
    </row>
    <row r="702" spans="8:15" ht="12.75" x14ac:dyDescent="0.2">
      <c r="H702" s="1"/>
      <c r="O702" s="1"/>
    </row>
    <row r="703" spans="8:15" ht="12.75" x14ac:dyDescent="0.2">
      <c r="H703" s="1"/>
      <c r="O703" s="1"/>
    </row>
    <row r="704" spans="8:15" ht="12.75" x14ac:dyDescent="0.2">
      <c r="H704" s="1"/>
      <c r="O704" s="1"/>
    </row>
    <row r="705" spans="8:15" ht="12.75" x14ac:dyDescent="0.2">
      <c r="H705" s="1"/>
      <c r="O705" s="1"/>
    </row>
    <row r="706" spans="8:15" ht="12.75" x14ac:dyDescent="0.2">
      <c r="H706" s="1"/>
      <c r="O706" s="1"/>
    </row>
    <row r="707" spans="8:15" ht="12.75" x14ac:dyDescent="0.2">
      <c r="H707" s="1"/>
      <c r="O707" s="1"/>
    </row>
    <row r="708" spans="8:15" ht="12.75" x14ac:dyDescent="0.2">
      <c r="H708" s="1"/>
      <c r="O708" s="1"/>
    </row>
    <row r="709" spans="8:15" ht="12.75" x14ac:dyDescent="0.2">
      <c r="H709" s="1"/>
      <c r="O709" s="1"/>
    </row>
    <row r="710" spans="8:15" ht="12.75" x14ac:dyDescent="0.2">
      <c r="H710" s="1"/>
      <c r="O710" s="1"/>
    </row>
    <row r="711" spans="8:15" ht="12.75" x14ac:dyDescent="0.2">
      <c r="H711" s="1"/>
      <c r="O711" s="1"/>
    </row>
    <row r="712" spans="8:15" ht="12.75" x14ac:dyDescent="0.2">
      <c r="H712" s="1"/>
      <c r="O712" s="1"/>
    </row>
    <row r="713" spans="8:15" ht="12.75" x14ac:dyDescent="0.2">
      <c r="H713" s="1"/>
      <c r="O713" s="1"/>
    </row>
    <row r="714" spans="8:15" ht="12.75" x14ac:dyDescent="0.2">
      <c r="H714" s="1"/>
      <c r="O714" s="1"/>
    </row>
    <row r="715" spans="8:15" ht="12.75" x14ac:dyDescent="0.2">
      <c r="H715" s="1"/>
      <c r="O715" s="1"/>
    </row>
    <row r="716" spans="8:15" ht="12.75" x14ac:dyDescent="0.2">
      <c r="H716" s="1"/>
      <c r="O716" s="1"/>
    </row>
    <row r="717" spans="8:15" ht="12.75" x14ac:dyDescent="0.2">
      <c r="H717" s="1"/>
      <c r="O717" s="1"/>
    </row>
    <row r="718" spans="8:15" ht="12.75" x14ac:dyDescent="0.2">
      <c r="H718" s="1"/>
      <c r="O718" s="1"/>
    </row>
    <row r="719" spans="8:15" ht="12.75" x14ac:dyDescent="0.2">
      <c r="H719" s="1"/>
      <c r="O719" s="1"/>
    </row>
    <row r="720" spans="8:15" ht="12.75" x14ac:dyDescent="0.2">
      <c r="H720" s="1"/>
      <c r="O720" s="1"/>
    </row>
    <row r="721" spans="8:15" ht="12.75" x14ac:dyDescent="0.2">
      <c r="H721" s="1"/>
      <c r="O721" s="1"/>
    </row>
    <row r="722" spans="8:15" ht="12.75" x14ac:dyDescent="0.2">
      <c r="H722" s="1"/>
      <c r="O722" s="1"/>
    </row>
    <row r="723" spans="8:15" ht="12.75" x14ac:dyDescent="0.2">
      <c r="H723" s="1"/>
      <c r="O723" s="1"/>
    </row>
    <row r="724" spans="8:15" ht="12.75" x14ac:dyDescent="0.2">
      <c r="H724" s="1"/>
      <c r="O724" s="1"/>
    </row>
    <row r="725" spans="8:15" ht="12.75" x14ac:dyDescent="0.2">
      <c r="H725" s="1"/>
      <c r="O725" s="1"/>
    </row>
    <row r="726" spans="8:15" ht="12.75" x14ac:dyDescent="0.2">
      <c r="H726" s="1"/>
      <c r="O726" s="1"/>
    </row>
    <row r="727" spans="8:15" ht="12.75" x14ac:dyDescent="0.2">
      <c r="H727" s="1"/>
      <c r="O727" s="1"/>
    </row>
    <row r="728" spans="8:15" ht="12.75" x14ac:dyDescent="0.2">
      <c r="H728" s="1"/>
      <c r="O728" s="1"/>
    </row>
    <row r="729" spans="8:15" ht="12.75" x14ac:dyDescent="0.2">
      <c r="H729" s="1"/>
      <c r="O729" s="1"/>
    </row>
    <row r="730" spans="8:15" ht="12.75" x14ac:dyDescent="0.2">
      <c r="H730" s="1"/>
      <c r="O730" s="1"/>
    </row>
    <row r="731" spans="8:15" ht="12.75" x14ac:dyDescent="0.2">
      <c r="H731" s="1"/>
      <c r="O731" s="1"/>
    </row>
    <row r="732" spans="8:15" ht="12.75" x14ac:dyDescent="0.2">
      <c r="H732" s="1"/>
      <c r="O732" s="1"/>
    </row>
    <row r="733" spans="8:15" ht="12.75" x14ac:dyDescent="0.2">
      <c r="H733" s="1"/>
      <c r="O733" s="1"/>
    </row>
    <row r="734" spans="8:15" ht="12.75" x14ac:dyDescent="0.2">
      <c r="H734" s="1"/>
      <c r="O734" s="1"/>
    </row>
    <row r="735" spans="8:15" ht="12.75" x14ac:dyDescent="0.2">
      <c r="H735" s="1"/>
      <c r="O735" s="1"/>
    </row>
    <row r="736" spans="8:15" ht="12.75" x14ac:dyDescent="0.2">
      <c r="H736" s="1"/>
      <c r="O736" s="1"/>
    </row>
    <row r="737" spans="8:15" ht="12.75" x14ac:dyDescent="0.2">
      <c r="H737" s="1"/>
      <c r="O737" s="1"/>
    </row>
    <row r="738" spans="8:15" ht="12.75" x14ac:dyDescent="0.2">
      <c r="H738" s="1"/>
      <c r="O738" s="1"/>
    </row>
    <row r="739" spans="8:15" ht="12.75" x14ac:dyDescent="0.2">
      <c r="H739" s="1"/>
      <c r="O739" s="1"/>
    </row>
    <row r="740" spans="8:15" ht="12.75" x14ac:dyDescent="0.2">
      <c r="H740" s="1"/>
      <c r="O740" s="1"/>
    </row>
    <row r="741" spans="8:15" ht="12.75" x14ac:dyDescent="0.2">
      <c r="H741" s="1"/>
      <c r="O741" s="1"/>
    </row>
    <row r="742" spans="8:15" ht="12.75" x14ac:dyDescent="0.2">
      <c r="H742" s="1"/>
      <c r="O742" s="1"/>
    </row>
    <row r="743" spans="8:15" ht="12.75" x14ac:dyDescent="0.2">
      <c r="H743" s="1"/>
      <c r="O743" s="1"/>
    </row>
    <row r="744" spans="8:15" ht="12.75" x14ac:dyDescent="0.2">
      <c r="H744" s="1"/>
      <c r="O744" s="1"/>
    </row>
    <row r="745" spans="8:15" ht="12.75" x14ac:dyDescent="0.2">
      <c r="H745" s="1"/>
      <c r="O745" s="1"/>
    </row>
    <row r="746" spans="8:15" ht="12.75" x14ac:dyDescent="0.2">
      <c r="H746" s="1"/>
      <c r="O746" s="1"/>
    </row>
    <row r="747" spans="8:15" ht="12.75" x14ac:dyDescent="0.2">
      <c r="H747" s="1"/>
      <c r="O747" s="1"/>
    </row>
    <row r="748" spans="8:15" ht="12.75" x14ac:dyDescent="0.2">
      <c r="H748" s="1"/>
      <c r="O748" s="1"/>
    </row>
    <row r="749" spans="8:15" ht="12.75" x14ac:dyDescent="0.2">
      <c r="H749" s="1"/>
      <c r="O749" s="1"/>
    </row>
    <row r="750" spans="8:15" ht="12.75" x14ac:dyDescent="0.2">
      <c r="H750" s="1"/>
      <c r="O750" s="1"/>
    </row>
    <row r="751" spans="8:15" ht="12.75" x14ac:dyDescent="0.2">
      <c r="H751" s="1"/>
      <c r="O751" s="1"/>
    </row>
    <row r="752" spans="8:15" ht="12.75" x14ac:dyDescent="0.2">
      <c r="H752" s="1"/>
      <c r="O752" s="1"/>
    </row>
    <row r="753" spans="8:15" ht="12.75" x14ac:dyDescent="0.2">
      <c r="H753" s="1"/>
      <c r="O753" s="1"/>
    </row>
    <row r="754" spans="8:15" ht="12.75" x14ac:dyDescent="0.2">
      <c r="H754" s="1"/>
      <c r="O754" s="1"/>
    </row>
    <row r="755" spans="8:15" ht="12.75" x14ac:dyDescent="0.2">
      <c r="H755" s="1"/>
      <c r="O755" s="1"/>
    </row>
    <row r="756" spans="8:15" ht="12.75" x14ac:dyDescent="0.2">
      <c r="H756" s="1"/>
      <c r="O756" s="1"/>
    </row>
    <row r="757" spans="8:15" ht="12.75" x14ac:dyDescent="0.2">
      <c r="H757" s="1"/>
      <c r="O757" s="1"/>
    </row>
    <row r="758" spans="8:15" ht="12.75" x14ac:dyDescent="0.2">
      <c r="H758" s="1"/>
      <c r="O758" s="1"/>
    </row>
    <row r="759" spans="8:15" ht="12.75" x14ac:dyDescent="0.2">
      <c r="H759" s="1"/>
      <c r="O759" s="1"/>
    </row>
    <row r="760" spans="8:15" ht="12.75" x14ac:dyDescent="0.2">
      <c r="H760" s="1"/>
      <c r="O760" s="1"/>
    </row>
    <row r="761" spans="8:15" ht="12.75" x14ac:dyDescent="0.2">
      <c r="H761" s="1"/>
      <c r="O761" s="1"/>
    </row>
    <row r="762" spans="8:15" ht="12.75" x14ac:dyDescent="0.2">
      <c r="H762" s="1"/>
      <c r="O762" s="1"/>
    </row>
    <row r="763" spans="8:15" ht="12.75" x14ac:dyDescent="0.2">
      <c r="H763" s="1"/>
      <c r="O763" s="1"/>
    </row>
    <row r="764" spans="8:15" ht="12.75" x14ac:dyDescent="0.2">
      <c r="H764" s="1"/>
      <c r="O764" s="1"/>
    </row>
    <row r="765" spans="8:15" ht="12.75" x14ac:dyDescent="0.2">
      <c r="H765" s="1"/>
      <c r="O765" s="1"/>
    </row>
    <row r="766" spans="8:15" ht="12.75" x14ac:dyDescent="0.2">
      <c r="H766" s="1"/>
      <c r="O766" s="1"/>
    </row>
    <row r="767" spans="8:15" ht="12.75" x14ac:dyDescent="0.2">
      <c r="H767" s="1"/>
      <c r="O767" s="1"/>
    </row>
    <row r="768" spans="8:15" ht="12.75" x14ac:dyDescent="0.2">
      <c r="H768" s="1"/>
      <c r="O768" s="1"/>
    </row>
    <row r="769" spans="8:15" ht="12.75" x14ac:dyDescent="0.2">
      <c r="H769" s="1"/>
      <c r="O769" s="1"/>
    </row>
    <row r="770" spans="8:15" ht="12.75" x14ac:dyDescent="0.2">
      <c r="H770" s="1"/>
      <c r="O770" s="1"/>
    </row>
    <row r="771" spans="8:15" ht="12.75" x14ac:dyDescent="0.2">
      <c r="H771" s="1"/>
      <c r="O771" s="1"/>
    </row>
    <row r="772" spans="8:15" ht="12.75" x14ac:dyDescent="0.2">
      <c r="H772" s="1"/>
      <c r="O772" s="1"/>
    </row>
    <row r="773" spans="8:15" ht="12.75" x14ac:dyDescent="0.2">
      <c r="H773" s="1"/>
      <c r="O773" s="1"/>
    </row>
    <row r="774" spans="8:15" ht="12.75" x14ac:dyDescent="0.2">
      <c r="H774" s="1"/>
      <c r="O774" s="1"/>
    </row>
    <row r="775" spans="8:15" ht="12.75" x14ac:dyDescent="0.2">
      <c r="H775" s="1"/>
      <c r="O775" s="1"/>
    </row>
    <row r="776" spans="8:15" ht="12.75" x14ac:dyDescent="0.2">
      <c r="H776" s="1"/>
      <c r="O776" s="1"/>
    </row>
    <row r="777" spans="8:15" ht="12.75" x14ac:dyDescent="0.2">
      <c r="H777" s="1"/>
      <c r="O777" s="1"/>
    </row>
    <row r="778" spans="8:15" ht="12.75" x14ac:dyDescent="0.2">
      <c r="H778" s="1"/>
      <c r="O778" s="1"/>
    </row>
    <row r="779" spans="8:15" ht="12.75" x14ac:dyDescent="0.2">
      <c r="H779" s="1"/>
      <c r="O779" s="1"/>
    </row>
    <row r="780" spans="8:15" ht="12.75" x14ac:dyDescent="0.2">
      <c r="H780" s="1"/>
      <c r="O780" s="1"/>
    </row>
    <row r="781" spans="8:15" ht="12.75" x14ac:dyDescent="0.2">
      <c r="H781" s="1"/>
      <c r="O781" s="1"/>
    </row>
    <row r="782" spans="8:15" ht="12.75" x14ac:dyDescent="0.2">
      <c r="H782" s="1"/>
      <c r="O782" s="1"/>
    </row>
    <row r="783" spans="8:15" ht="12.75" x14ac:dyDescent="0.2">
      <c r="H783" s="1"/>
      <c r="O783" s="1"/>
    </row>
    <row r="784" spans="8:15" ht="12.75" x14ac:dyDescent="0.2">
      <c r="H784" s="1"/>
      <c r="O784" s="1"/>
    </row>
    <row r="785" spans="8:15" ht="12.75" x14ac:dyDescent="0.2">
      <c r="H785" s="1"/>
      <c r="O785" s="1"/>
    </row>
    <row r="786" spans="8:15" ht="12.75" x14ac:dyDescent="0.2">
      <c r="H786" s="1"/>
      <c r="O786" s="1"/>
    </row>
    <row r="787" spans="8:15" ht="12.75" x14ac:dyDescent="0.2">
      <c r="H787" s="1"/>
      <c r="O787" s="1"/>
    </row>
    <row r="788" spans="8:15" ht="12.75" x14ac:dyDescent="0.2">
      <c r="H788" s="1"/>
      <c r="O788" s="1"/>
    </row>
    <row r="789" spans="8:15" ht="12.75" x14ac:dyDescent="0.2">
      <c r="H789" s="1"/>
      <c r="O789" s="1"/>
    </row>
    <row r="790" spans="8:15" ht="12.75" x14ac:dyDescent="0.2">
      <c r="H790" s="1"/>
      <c r="O790" s="1"/>
    </row>
    <row r="791" spans="8:15" ht="12.75" x14ac:dyDescent="0.2">
      <c r="H791" s="1"/>
      <c r="O791" s="1"/>
    </row>
    <row r="792" spans="8:15" ht="12.75" x14ac:dyDescent="0.2">
      <c r="H792" s="1"/>
      <c r="O792" s="1"/>
    </row>
    <row r="793" spans="8:15" ht="12.75" x14ac:dyDescent="0.2">
      <c r="H793" s="1"/>
      <c r="O793" s="1"/>
    </row>
    <row r="794" spans="8:15" ht="12.75" x14ac:dyDescent="0.2">
      <c r="H794" s="1"/>
      <c r="O794" s="1"/>
    </row>
    <row r="795" spans="8:15" ht="12.75" x14ac:dyDescent="0.2">
      <c r="H795" s="1"/>
      <c r="O795" s="1"/>
    </row>
    <row r="796" spans="8:15" ht="12.75" x14ac:dyDescent="0.2">
      <c r="H796" s="1"/>
      <c r="O796" s="1"/>
    </row>
    <row r="797" spans="8:15" ht="12.75" x14ac:dyDescent="0.2">
      <c r="H797" s="1"/>
      <c r="O797" s="1"/>
    </row>
    <row r="798" spans="8:15" ht="12.75" x14ac:dyDescent="0.2">
      <c r="H798" s="1"/>
      <c r="O798" s="1"/>
    </row>
    <row r="799" spans="8:15" ht="12.75" x14ac:dyDescent="0.2">
      <c r="H799" s="1"/>
      <c r="O799" s="1"/>
    </row>
    <row r="800" spans="8:15" ht="12.75" x14ac:dyDescent="0.2">
      <c r="H800" s="1"/>
      <c r="O800" s="1"/>
    </row>
    <row r="801" spans="8:15" ht="12.75" x14ac:dyDescent="0.2">
      <c r="H801" s="1"/>
      <c r="O801" s="1"/>
    </row>
    <row r="802" spans="8:15" ht="12.75" x14ac:dyDescent="0.2">
      <c r="H802" s="1"/>
      <c r="O802" s="1"/>
    </row>
    <row r="803" spans="8:15" ht="12.75" x14ac:dyDescent="0.2">
      <c r="H803" s="1"/>
      <c r="O803" s="1"/>
    </row>
    <row r="804" spans="8:15" ht="12.75" x14ac:dyDescent="0.2">
      <c r="H804" s="1"/>
      <c r="O804" s="1"/>
    </row>
    <row r="805" spans="8:15" ht="12.75" x14ac:dyDescent="0.2">
      <c r="H805" s="1"/>
      <c r="O805" s="1"/>
    </row>
    <row r="806" spans="8:15" ht="12.75" x14ac:dyDescent="0.2">
      <c r="H806" s="1"/>
      <c r="O806" s="1"/>
    </row>
    <row r="807" spans="8:15" ht="12.75" x14ac:dyDescent="0.2">
      <c r="H807" s="1"/>
      <c r="O807" s="1"/>
    </row>
    <row r="808" spans="8:15" ht="12.75" x14ac:dyDescent="0.2">
      <c r="H808" s="1"/>
      <c r="O808" s="1"/>
    </row>
    <row r="809" spans="8:15" ht="12.75" x14ac:dyDescent="0.2">
      <c r="H809" s="1"/>
      <c r="O809" s="1"/>
    </row>
    <row r="810" spans="8:15" ht="12.75" x14ac:dyDescent="0.2">
      <c r="H810" s="1"/>
      <c r="O810" s="1"/>
    </row>
    <row r="811" spans="8:15" ht="12.75" x14ac:dyDescent="0.2">
      <c r="H811" s="1"/>
      <c r="O811" s="1"/>
    </row>
    <row r="812" spans="8:15" ht="12.75" x14ac:dyDescent="0.2">
      <c r="H812" s="1"/>
      <c r="O812" s="1"/>
    </row>
    <row r="813" spans="8:15" ht="12.75" x14ac:dyDescent="0.2">
      <c r="H813" s="1"/>
      <c r="O813" s="1"/>
    </row>
    <row r="814" spans="8:15" ht="12.75" x14ac:dyDescent="0.2">
      <c r="H814" s="1"/>
      <c r="O814" s="1"/>
    </row>
    <row r="815" spans="8:15" ht="12.75" x14ac:dyDescent="0.2">
      <c r="H815" s="1"/>
      <c r="O815" s="1"/>
    </row>
    <row r="816" spans="8:15" ht="12.75" x14ac:dyDescent="0.2">
      <c r="H816" s="1"/>
      <c r="O816" s="1"/>
    </row>
    <row r="817" spans="8:15" ht="12.75" x14ac:dyDescent="0.2">
      <c r="H817" s="1"/>
      <c r="O817" s="1"/>
    </row>
    <row r="818" spans="8:15" ht="12.75" x14ac:dyDescent="0.2">
      <c r="H818" s="1"/>
      <c r="O818" s="1"/>
    </row>
    <row r="819" spans="8:15" ht="12.75" x14ac:dyDescent="0.2">
      <c r="H819" s="1"/>
      <c r="O819" s="1"/>
    </row>
    <row r="820" spans="8:15" ht="12.75" x14ac:dyDescent="0.2">
      <c r="H820" s="1"/>
      <c r="O820" s="1"/>
    </row>
    <row r="821" spans="8:15" ht="12.75" x14ac:dyDescent="0.2">
      <c r="H821" s="1"/>
      <c r="O821" s="1"/>
    </row>
    <row r="822" spans="8:15" ht="12.75" x14ac:dyDescent="0.2">
      <c r="H822" s="1"/>
      <c r="O822" s="1"/>
    </row>
    <row r="823" spans="8:15" ht="12.75" x14ac:dyDescent="0.2">
      <c r="H823" s="1"/>
      <c r="O823" s="1"/>
    </row>
    <row r="824" spans="8:15" ht="12.75" x14ac:dyDescent="0.2">
      <c r="H824" s="1"/>
      <c r="O824" s="1"/>
    </row>
    <row r="825" spans="8:15" ht="12.75" x14ac:dyDescent="0.2">
      <c r="H825" s="1"/>
      <c r="O825" s="1"/>
    </row>
    <row r="826" spans="8:15" ht="12.75" x14ac:dyDescent="0.2">
      <c r="H826" s="1"/>
      <c r="O826" s="1"/>
    </row>
    <row r="827" spans="8:15" ht="12.75" x14ac:dyDescent="0.2">
      <c r="H827" s="1"/>
      <c r="O827" s="1"/>
    </row>
    <row r="828" spans="8:15" ht="12.75" x14ac:dyDescent="0.2">
      <c r="H828" s="1"/>
      <c r="O828" s="1"/>
    </row>
    <row r="829" spans="8:15" ht="12.75" x14ac:dyDescent="0.2">
      <c r="H829" s="1"/>
      <c r="O829" s="1"/>
    </row>
    <row r="830" spans="8:15" ht="12.75" x14ac:dyDescent="0.2">
      <c r="H830" s="1"/>
      <c r="O830" s="1"/>
    </row>
    <row r="831" spans="8:15" ht="12.75" x14ac:dyDescent="0.2">
      <c r="H831" s="1"/>
      <c r="O831" s="1"/>
    </row>
    <row r="832" spans="8:15" ht="12.75" x14ac:dyDescent="0.2">
      <c r="H832" s="1"/>
      <c r="O832" s="1"/>
    </row>
    <row r="833" spans="8:15" ht="12.75" x14ac:dyDescent="0.2">
      <c r="H833" s="1"/>
      <c r="O833" s="1"/>
    </row>
    <row r="834" spans="8:15" ht="12.75" x14ac:dyDescent="0.2">
      <c r="H834" s="1"/>
      <c r="O834" s="1"/>
    </row>
    <row r="835" spans="8:15" ht="12.75" x14ac:dyDescent="0.2">
      <c r="H835" s="1"/>
      <c r="O835" s="1"/>
    </row>
    <row r="836" spans="8:15" ht="12.75" x14ac:dyDescent="0.2">
      <c r="H836" s="1"/>
      <c r="O836" s="1"/>
    </row>
    <row r="837" spans="8:15" ht="12.75" x14ac:dyDescent="0.2">
      <c r="H837" s="1"/>
      <c r="O837" s="1"/>
    </row>
    <row r="838" spans="8:15" ht="12.75" x14ac:dyDescent="0.2">
      <c r="H838" s="1"/>
      <c r="O838" s="1"/>
    </row>
    <row r="839" spans="8:15" ht="12.75" x14ac:dyDescent="0.2">
      <c r="H839" s="1"/>
      <c r="O839" s="1"/>
    </row>
    <row r="840" spans="8:15" ht="12.75" x14ac:dyDescent="0.2">
      <c r="H840" s="1"/>
      <c r="O840" s="1"/>
    </row>
    <row r="841" spans="8:15" ht="12.75" x14ac:dyDescent="0.2">
      <c r="H841" s="1"/>
      <c r="O841" s="1"/>
    </row>
    <row r="842" spans="8:15" ht="12.75" x14ac:dyDescent="0.2">
      <c r="H842" s="1"/>
      <c r="O842" s="1"/>
    </row>
    <row r="843" spans="8:15" ht="12.75" x14ac:dyDescent="0.2">
      <c r="H843" s="1"/>
      <c r="O843" s="1"/>
    </row>
    <row r="844" spans="8:15" ht="12.75" x14ac:dyDescent="0.2">
      <c r="H844" s="1"/>
      <c r="O844" s="1"/>
    </row>
    <row r="845" spans="8:15" ht="12.75" x14ac:dyDescent="0.2">
      <c r="H845" s="1"/>
      <c r="O845" s="1"/>
    </row>
    <row r="846" spans="8:15" ht="12.75" x14ac:dyDescent="0.2">
      <c r="H846" s="1"/>
      <c r="O846" s="1"/>
    </row>
    <row r="847" spans="8:15" ht="12.75" x14ac:dyDescent="0.2">
      <c r="H847" s="1"/>
      <c r="O847" s="1"/>
    </row>
    <row r="848" spans="8:15" ht="12.75" x14ac:dyDescent="0.2">
      <c r="H848" s="1"/>
      <c r="O848" s="1"/>
    </row>
    <row r="849" spans="8:15" ht="12.75" x14ac:dyDescent="0.2">
      <c r="H849" s="1"/>
      <c r="O849" s="1"/>
    </row>
    <row r="850" spans="8:15" ht="12.75" x14ac:dyDescent="0.2">
      <c r="H850" s="1"/>
      <c r="O850" s="1"/>
    </row>
    <row r="851" spans="8:15" ht="12.75" x14ac:dyDescent="0.2">
      <c r="H851" s="1"/>
      <c r="O851" s="1"/>
    </row>
    <row r="852" spans="8:15" ht="12.75" x14ac:dyDescent="0.2">
      <c r="H852" s="1"/>
      <c r="O852" s="1"/>
    </row>
    <row r="853" spans="8:15" ht="12.75" x14ac:dyDescent="0.2">
      <c r="H853" s="1"/>
      <c r="O853" s="1"/>
    </row>
    <row r="854" spans="8:15" ht="12.75" x14ac:dyDescent="0.2">
      <c r="H854" s="1"/>
      <c r="O854" s="1"/>
    </row>
    <row r="855" spans="8:15" ht="12.75" x14ac:dyDescent="0.2">
      <c r="H855" s="1"/>
      <c r="O855" s="1"/>
    </row>
    <row r="856" spans="8:15" ht="12.75" x14ac:dyDescent="0.2">
      <c r="H856" s="1"/>
      <c r="O856" s="1"/>
    </row>
    <row r="857" spans="8:15" ht="12.75" x14ac:dyDescent="0.2">
      <c r="H857" s="1"/>
      <c r="O857" s="1"/>
    </row>
    <row r="858" spans="8:15" ht="12.75" x14ac:dyDescent="0.2">
      <c r="H858" s="1"/>
      <c r="O858" s="1"/>
    </row>
    <row r="859" spans="8:15" ht="12.75" x14ac:dyDescent="0.2">
      <c r="H859" s="1"/>
      <c r="O859" s="1"/>
    </row>
    <row r="860" spans="8:15" ht="12.75" x14ac:dyDescent="0.2">
      <c r="H860" s="1"/>
      <c r="O860" s="1"/>
    </row>
    <row r="861" spans="8:15" ht="12.75" x14ac:dyDescent="0.2">
      <c r="H861" s="1"/>
      <c r="O861" s="1"/>
    </row>
    <row r="862" spans="8:15" ht="12.75" x14ac:dyDescent="0.2">
      <c r="H862" s="1"/>
      <c r="O862" s="1"/>
    </row>
    <row r="863" spans="8:15" ht="12.75" x14ac:dyDescent="0.2">
      <c r="H863" s="1"/>
      <c r="O863" s="1"/>
    </row>
    <row r="864" spans="8:15" ht="12.75" x14ac:dyDescent="0.2">
      <c r="H864" s="1"/>
      <c r="O864" s="1"/>
    </row>
    <row r="865" spans="8:15" ht="12.75" x14ac:dyDescent="0.2">
      <c r="H865" s="1"/>
      <c r="O865" s="1"/>
    </row>
    <row r="866" spans="8:15" ht="12.75" x14ac:dyDescent="0.2">
      <c r="H866" s="1"/>
      <c r="O866" s="1"/>
    </row>
    <row r="867" spans="8:15" ht="12.75" x14ac:dyDescent="0.2">
      <c r="H867" s="1"/>
      <c r="O867" s="1"/>
    </row>
    <row r="868" spans="8:15" ht="12.75" x14ac:dyDescent="0.2">
      <c r="H868" s="1"/>
      <c r="O868" s="1"/>
    </row>
    <row r="869" spans="8:15" ht="12.75" x14ac:dyDescent="0.2">
      <c r="H869" s="1"/>
      <c r="O869" s="1"/>
    </row>
    <row r="870" spans="8:15" ht="12.75" x14ac:dyDescent="0.2">
      <c r="H870" s="1"/>
      <c r="O870" s="1"/>
    </row>
    <row r="871" spans="8:15" ht="12.75" x14ac:dyDescent="0.2">
      <c r="H871" s="1"/>
      <c r="O871" s="1"/>
    </row>
    <row r="872" spans="8:15" ht="12.75" x14ac:dyDescent="0.2">
      <c r="H872" s="1"/>
      <c r="O872" s="1"/>
    </row>
    <row r="873" spans="8:15" ht="12.75" x14ac:dyDescent="0.2">
      <c r="H873" s="1"/>
      <c r="O873" s="1"/>
    </row>
    <row r="874" spans="8:15" ht="12.75" x14ac:dyDescent="0.2">
      <c r="H874" s="1"/>
      <c r="O874" s="1"/>
    </row>
    <row r="875" spans="8:15" ht="12.75" x14ac:dyDescent="0.2">
      <c r="H875" s="1"/>
      <c r="O875" s="1"/>
    </row>
    <row r="876" spans="8:15" ht="12.75" x14ac:dyDescent="0.2">
      <c r="H876" s="1"/>
      <c r="O876" s="1"/>
    </row>
    <row r="877" spans="8:15" ht="12.75" x14ac:dyDescent="0.2">
      <c r="H877" s="1"/>
      <c r="O877" s="1"/>
    </row>
    <row r="878" spans="8:15" ht="12.75" x14ac:dyDescent="0.2">
      <c r="H878" s="1"/>
      <c r="O878" s="1"/>
    </row>
    <row r="879" spans="8:15" ht="12.75" x14ac:dyDescent="0.2">
      <c r="H879" s="1"/>
      <c r="O879" s="1"/>
    </row>
    <row r="880" spans="8:15" ht="12.75" x14ac:dyDescent="0.2">
      <c r="H880" s="1"/>
      <c r="O880" s="1"/>
    </row>
    <row r="881" spans="8:15" ht="12.75" x14ac:dyDescent="0.2">
      <c r="H881" s="1"/>
      <c r="O881" s="1"/>
    </row>
    <row r="882" spans="8:15" ht="12.75" x14ac:dyDescent="0.2">
      <c r="H882" s="1"/>
      <c r="O882" s="1"/>
    </row>
    <row r="883" spans="8:15" ht="12.75" x14ac:dyDescent="0.2">
      <c r="H883" s="1"/>
      <c r="O883" s="1"/>
    </row>
    <row r="884" spans="8:15" ht="12.75" x14ac:dyDescent="0.2">
      <c r="H884" s="1"/>
      <c r="O884" s="1"/>
    </row>
    <row r="885" spans="8:15" ht="12.75" x14ac:dyDescent="0.2">
      <c r="H885" s="1"/>
      <c r="O885" s="1"/>
    </row>
    <row r="886" spans="8:15" ht="12.75" x14ac:dyDescent="0.2">
      <c r="H886" s="1"/>
      <c r="O886" s="1"/>
    </row>
    <row r="887" spans="8:15" ht="12.75" x14ac:dyDescent="0.2">
      <c r="H887" s="1"/>
      <c r="O887" s="1"/>
    </row>
    <row r="888" spans="8:15" ht="12.75" x14ac:dyDescent="0.2">
      <c r="H888" s="1"/>
      <c r="O888" s="1"/>
    </row>
    <row r="889" spans="8:15" ht="12.75" x14ac:dyDescent="0.2">
      <c r="H889" s="1"/>
      <c r="O889" s="1"/>
    </row>
    <row r="890" spans="8:15" ht="12.75" x14ac:dyDescent="0.2">
      <c r="H890" s="1"/>
      <c r="O890" s="1"/>
    </row>
    <row r="891" spans="8:15" ht="12.75" x14ac:dyDescent="0.2">
      <c r="H891" s="1"/>
      <c r="O891" s="1"/>
    </row>
    <row r="892" spans="8:15" ht="12.75" x14ac:dyDescent="0.2">
      <c r="H892" s="1"/>
      <c r="O892" s="1"/>
    </row>
    <row r="893" spans="8:15" ht="12.75" x14ac:dyDescent="0.2">
      <c r="H893" s="1"/>
      <c r="O893" s="1"/>
    </row>
    <row r="894" spans="8:15" ht="12.75" x14ac:dyDescent="0.2">
      <c r="H894" s="1"/>
      <c r="O894" s="1"/>
    </row>
    <row r="895" spans="8:15" ht="12.75" x14ac:dyDescent="0.2">
      <c r="H895" s="1"/>
      <c r="O895" s="1"/>
    </row>
    <row r="896" spans="8:15" ht="12.75" x14ac:dyDescent="0.2">
      <c r="H896" s="1"/>
      <c r="O896" s="1"/>
    </row>
    <row r="897" spans="8:15" ht="12.75" x14ac:dyDescent="0.2">
      <c r="H897" s="1"/>
      <c r="O897" s="1"/>
    </row>
    <row r="898" spans="8:15" ht="12.75" x14ac:dyDescent="0.2">
      <c r="H898" s="1"/>
      <c r="O898" s="1"/>
    </row>
    <row r="899" spans="8:15" ht="12.75" x14ac:dyDescent="0.2">
      <c r="H899" s="1"/>
      <c r="O899" s="1"/>
    </row>
    <row r="900" spans="8:15" ht="12.75" x14ac:dyDescent="0.2">
      <c r="H900" s="1"/>
      <c r="O900" s="1"/>
    </row>
    <row r="901" spans="8:15" ht="12.75" x14ac:dyDescent="0.2">
      <c r="H901" s="1"/>
      <c r="O901" s="1"/>
    </row>
    <row r="902" spans="8:15" ht="12.75" x14ac:dyDescent="0.2">
      <c r="H902" s="1"/>
      <c r="O902" s="1"/>
    </row>
    <row r="903" spans="8:15" ht="12.75" x14ac:dyDescent="0.2">
      <c r="H903" s="1"/>
      <c r="O903" s="1"/>
    </row>
    <row r="904" spans="8:15" ht="12.75" x14ac:dyDescent="0.2">
      <c r="H904" s="1"/>
      <c r="O904" s="1"/>
    </row>
    <row r="905" spans="8:15" ht="12.75" x14ac:dyDescent="0.2">
      <c r="H905" s="1"/>
      <c r="O905" s="1"/>
    </row>
    <row r="906" spans="8:15" ht="12.75" x14ac:dyDescent="0.2">
      <c r="H906" s="1"/>
      <c r="O906" s="1"/>
    </row>
    <row r="907" spans="8:15" ht="12.75" x14ac:dyDescent="0.2">
      <c r="H907" s="1"/>
      <c r="O907" s="1"/>
    </row>
    <row r="908" spans="8:15" ht="12.75" x14ac:dyDescent="0.2">
      <c r="H908" s="1"/>
      <c r="O908" s="1"/>
    </row>
    <row r="909" spans="8:15" ht="12.75" x14ac:dyDescent="0.2">
      <c r="H909" s="1"/>
      <c r="O909" s="1"/>
    </row>
    <row r="910" spans="8:15" ht="12.75" x14ac:dyDescent="0.2">
      <c r="H910" s="1"/>
      <c r="O910" s="1"/>
    </row>
    <row r="911" spans="8:15" ht="12.75" x14ac:dyDescent="0.2">
      <c r="H911" s="1"/>
      <c r="O911" s="1"/>
    </row>
    <row r="912" spans="8:15" ht="12.75" x14ac:dyDescent="0.2">
      <c r="H912" s="1"/>
      <c r="O912" s="1"/>
    </row>
    <row r="913" spans="8:15" ht="12.75" x14ac:dyDescent="0.2">
      <c r="H913" s="1"/>
      <c r="O913" s="1"/>
    </row>
    <row r="914" spans="8:15" ht="12.75" x14ac:dyDescent="0.2">
      <c r="H914" s="1"/>
      <c r="O914" s="1"/>
    </row>
    <row r="915" spans="8:15" ht="12.75" x14ac:dyDescent="0.2">
      <c r="H915" s="1"/>
      <c r="O915" s="1"/>
    </row>
    <row r="916" spans="8:15" ht="12.75" x14ac:dyDescent="0.2">
      <c r="H916" s="1"/>
      <c r="O916" s="1"/>
    </row>
    <row r="917" spans="8:15" ht="12.75" x14ac:dyDescent="0.2">
      <c r="H917" s="1"/>
      <c r="O917" s="1"/>
    </row>
    <row r="918" spans="8:15" ht="12.75" x14ac:dyDescent="0.2">
      <c r="H918" s="1"/>
      <c r="O918" s="1"/>
    </row>
    <row r="919" spans="8:15" ht="12.75" x14ac:dyDescent="0.2">
      <c r="H919" s="1"/>
      <c r="O919" s="1"/>
    </row>
    <row r="920" spans="8:15" ht="12.75" x14ac:dyDescent="0.2">
      <c r="H920" s="1"/>
      <c r="O920" s="1"/>
    </row>
    <row r="921" spans="8:15" ht="12.75" x14ac:dyDescent="0.2">
      <c r="H921" s="1"/>
      <c r="O921" s="1"/>
    </row>
    <row r="922" spans="8:15" ht="12.75" x14ac:dyDescent="0.2">
      <c r="H922" s="1"/>
      <c r="O922" s="1"/>
    </row>
    <row r="923" spans="8:15" ht="12.75" x14ac:dyDescent="0.2">
      <c r="H923" s="1"/>
      <c r="O923" s="1"/>
    </row>
    <row r="924" spans="8:15" ht="12.75" x14ac:dyDescent="0.2">
      <c r="H924" s="1"/>
      <c r="O924" s="1"/>
    </row>
    <row r="925" spans="8:15" ht="12.75" x14ac:dyDescent="0.2">
      <c r="H925" s="1"/>
      <c r="O925" s="1"/>
    </row>
    <row r="926" spans="8:15" ht="12.75" x14ac:dyDescent="0.2">
      <c r="H926" s="1"/>
      <c r="O926" s="1"/>
    </row>
    <row r="927" spans="8:15" ht="12.75" x14ac:dyDescent="0.2">
      <c r="H927" s="1"/>
      <c r="O927" s="1"/>
    </row>
    <row r="928" spans="8:15" ht="12.75" x14ac:dyDescent="0.2">
      <c r="H928" s="1"/>
      <c r="O928" s="1"/>
    </row>
    <row r="929" spans="8:15" ht="12.75" x14ac:dyDescent="0.2">
      <c r="H929" s="1"/>
      <c r="O929" s="1"/>
    </row>
    <row r="930" spans="8:15" ht="12.75" x14ac:dyDescent="0.2">
      <c r="H930" s="1"/>
      <c r="O930" s="1"/>
    </row>
    <row r="931" spans="8:15" ht="12.75" x14ac:dyDescent="0.2">
      <c r="H931" s="1"/>
      <c r="O931" s="1"/>
    </row>
    <row r="932" spans="8:15" ht="12.75" x14ac:dyDescent="0.2">
      <c r="H932" s="1"/>
      <c r="O932" s="1"/>
    </row>
    <row r="933" spans="8:15" ht="12.75" x14ac:dyDescent="0.2">
      <c r="H933" s="1"/>
      <c r="O933" s="1"/>
    </row>
    <row r="934" spans="8:15" ht="12.75" x14ac:dyDescent="0.2">
      <c r="H934" s="1"/>
      <c r="O934" s="1"/>
    </row>
    <row r="935" spans="8:15" ht="12.75" x14ac:dyDescent="0.2">
      <c r="H935" s="1"/>
      <c r="O935" s="1"/>
    </row>
    <row r="936" spans="8:15" ht="12.75" x14ac:dyDescent="0.2">
      <c r="H936" s="1"/>
      <c r="O936" s="1"/>
    </row>
    <row r="937" spans="8:15" ht="12.75" x14ac:dyDescent="0.2">
      <c r="H937" s="1"/>
      <c r="O937" s="1"/>
    </row>
    <row r="938" spans="8:15" ht="12.75" x14ac:dyDescent="0.2">
      <c r="H938" s="1"/>
      <c r="O938" s="1"/>
    </row>
    <row r="939" spans="8:15" ht="12.75" x14ac:dyDescent="0.2">
      <c r="H939" s="1"/>
      <c r="O939" s="1"/>
    </row>
    <row r="940" spans="8:15" ht="12.75" x14ac:dyDescent="0.2">
      <c r="H940" s="1"/>
      <c r="O940" s="1"/>
    </row>
    <row r="941" spans="8:15" ht="12.75" x14ac:dyDescent="0.2">
      <c r="H941" s="1"/>
      <c r="O941" s="1"/>
    </row>
    <row r="942" spans="8:15" ht="12.75" x14ac:dyDescent="0.2">
      <c r="H942" s="1"/>
      <c r="O942" s="1"/>
    </row>
    <row r="943" spans="8:15" ht="12.75" x14ac:dyDescent="0.2">
      <c r="H943" s="1"/>
      <c r="O943" s="1"/>
    </row>
    <row r="944" spans="8:15" ht="12.75" x14ac:dyDescent="0.2">
      <c r="H944" s="1"/>
      <c r="O944" s="1"/>
    </row>
    <row r="945" spans="8:15" ht="12.75" x14ac:dyDescent="0.2">
      <c r="H945" s="1"/>
      <c r="O945" s="1"/>
    </row>
    <row r="946" spans="8:15" ht="12.75" x14ac:dyDescent="0.2">
      <c r="H946" s="1"/>
      <c r="O946" s="1"/>
    </row>
    <row r="947" spans="8:15" ht="12.75" x14ac:dyDescent="0.2">
      <c r="H947" s="1"/>
      <c r="O947" s="1"/>
    </row>
    <row r="948" spans="8:15" ht="12.75" x14ac:dyDescent="0.2">
      <c r="H948" s="1"/>
      <c r="O948" s="1"/>
    </row>
    <row r="949" spans="8:15" ht="12.75" x14ac:dyDescent="0.2">
      <c r="H949" s="1"/>
      <c r="O949" s="1"/>
    </row>
    <row r="950" spans="8:15" ht="12.75" x14ac:dyDescent="0.2">
      <c r="H950" s="1"/>
      <c r="O950" s="1"/>
    </row>
    <row r="951" spans="8:15" ht="12.75" x14ac:dyDescent="0.2">
      <c r="H951" s="1"/>
      <c r="O951" s="1"/>
    </row>
    <row r="952" spans="8:15" ht="12.75" x14ac:dyDescent="0.2">
      <c r="H952" s="1"/>
      <c r="O952" s="1"/>
    </row>
    <row r="953" spans="8:15" ht="12.75" x14ac:dyDescent="0.2">
      <c r="H953" s="1"/>
      <c r="O953" s="1"/>
    </row>
    <row r="954" spans="8:15" ht="12.75" x14ac:dyDescent="0.2">
      <c r="H954" s="1"/>
      <c r="O954" s="1"/>
    </row>
    <row r="955" spans="8:15" ht="12.75" x14ac:dyDescent="0.2">
      <c r="H955" s="1"/>
      <c r="O955" s="1"/>
    </row>
    <row r="956" spans="8:15" ht="12.75" x14ac:dyDescent="0.2">
      <c r="H956" s="1"/>
      <c r="O956" s="1"/>
    </row>
    <row r="957" spans="8:15" ht="12.75" x14ac:dyDescent="0.2">
      <c r="H957" s="1"/>
      <c r="O957" s="1"/>
    </row>
    <row r="958" spans="8:15" ht="12.75" x14ac:dyDescent="0.2">
      <c r="H958" s="1"/>
      <c r="O958" s="1"/>
    </row>
    <row r="959" spans="8:15" ht="12.75" x14ac:dyDescent="0.2">
      <c r="H959" s="1"/>
      <c r="O959" s="1"/>
    </row>
    <row r="960" spans="8:15" ht="12.75" x14ac:dyDescent="0.2">
      <c r="H960" s="1"/>
      <c r="O960" s="1"/>
    </row>
    <row r="961" spans="8:15" ht="12.75" x14ac:dyDescent="0.2">
      <c r="H961" s="1"/>
      <c r="O961" s="1"/>
    </row>
    <row r="962" spans="8:15" ht="12.75" x14ac:dyDescent="0.2">
      <c r="H962" s="1"/>
      <c r="O962" s="1"/>
    </row>
    <row r="963" spans="8:15" ht="12.75" x14ac:dyDescent="0.2">
      <c r="H963" s="1"/>
      <c r="O963" s="1"/>
    </row>
    <row r="964" spans="8:15" ht="12.75" x14ac:dyDescent="0.2">
      <c r="H964" s="1"/>
      <c r="O964" s="1"/>
    </row>
    <row r="965" spans="8:15" ht="12.75" x14ac:dyDescent="0.2">
      <c r="H965" s="1"/>
      <c r="O965" s="1"/>
    </row>
    <row r="966" spans="8:15" ht="12.75" x14ac:dyDescent="0.2">
      <c r="H966" s="1"/>
      <c r="O966" s="1"/>
    </row>
    <row r="967" spans="8:15" ht="12.75" x14ac:dyDescent="0.2">
      <c r="H967" s="1"/>
      <c r="O967" s="1"/>
    </row>
    <row r="968" spans="8:15" ht="12.75" x14ac:dyDescent="0.2">
      <c r="H968" s="1"/>
      <c r="O968" s="1"/>
    </row>
    <row r="969" spans="8:15" ht="12.75" x14ac:dyDescent="0.2">
      <c r="H969" s="1"/>
      <c r="O969" s="1"/>
    </row>
    <row r="970" spans="8:15" ht="12.75" x14ac:dyDescent="0.2">
      <c r="H970" s="1"/>
      <c r="O970" s="1"/>
    </row>
    <row r="971" spans="8:15" ht="12.75" x14ac:dyDescent="0.2">
      <c r="H971" s="1"/>
      <c r="O971" s="1"/>
    </row>
    <row r="972" spans="8:15" ht="12.75" x14ac:dyDescent="0.2">
      <c r="H972" s="1"/>
      <c r="O972" s="1"/>
    </row>
    <row r="973" spans="8:15" ht="12.75" x14ac:dyDescent="0.2">
      <c r="H973" s="1"/>
      <c r="O973" s="1"/>
    </row>
    <row r="974" spans="8:15" ht="12.75" x14ac:dyDescent="0.2">
      <c r="H974" s="1"/>
      <c r="O974" s="1"/>
    </row>
    <row r="975" spans="8:15" ht="12.75" x14ac:dyDescent="0.2">
      <c r="H975" s="1"/>
      <c r="O975" s="1"/>
    </row>
    <row r="976" spans="8:15" ht="12.75" x14ac:dyDescent="0.2">
      <c r="H976" s="1"/>
      <c r="O976" s="1"/>
    </row>
    <row r="977" spans="8:15" ht="12.75" x14ac:dyDescent="0.2">
      <c r="H977" s="1"/>
      <c r="O977" s="1"/>
    </row>
    <row r="978" spans="8:15" ht="12.75" x14ac:dyDescent="0.2">
      <c r="H978" s="1"/>
      <c r="O978" s="1"/>
    </row>
    <row r="979" spans="8:15" ht="12.75" x14ac:dyDescent="0.2">
      <c r="H979" s="1"/>
      <c r="O979" s="1"/>
    </row>
    <row r="980" spans="8:15" ht="12.75" x14ac:dyDescent="0.2">
      <c r="H980" s="1"/>
      <c r="O980" s="1"/>
    </row>
    <row r="981" spans="8:15" ht="12.75" x14ac:dyDescent="0.2">
      <c r="H981" s="1"/>
      <c r="O981" s="1"/>
    </row>
    <row r="982" spans="8:15" ht="12.75" x14ac:dyDescent="0.2">
      <c r="H982" s="1"/>
      <c r="O982" s="1"/>
    </row>
    <row r="983" spans="8:15" ht="12.75" x14ac:dyDescent="0.2">
      <c r="H983" s="1"/>
      <c r="O983" s="1"/>
    </row>
    <row r="984" spans="8:15" ht="12.75" x14ac:dyDescent="0.2">
      <c r="H984" s="1"/>
      <c r="O984" s="1"/>
    </row>
    <row r="985" spans="8:15" ht="12.75" x14ac:dyDescent="0.2">
      <c r="H985" s="1"/>
      <c r="O985" s="1"/>
    </row>
    <row r="986" spans="8:15" ht="12.75" x14ac:dyDescent="0.2">
      <c r="H986" s="1"/>
      <c r="O986" s="1"/>
    </row>
    <row r="987" spans="8:15" ht="12.75" x14ac:dyDescent="0.2">
      <c r="H987" s="1"/>
      <c r="O987" s="1"/>
    </row>
    <row r="988" spans="8:15" ht="12.75" x14ac:dyDescent="0.2">
      <c r="H988" s="1"/>
      <c r="O988" s="1"/>
    </row>
    <row r="989" spans="8:15" ht="12.75" x14ac:dyDescent="0.2">
      <c r="H989" s="1"/>
      <c r="O989" s="1"/>
    </row>
    <row r="990" spans="8:15" ht="12.75" x14ac:dyDescent="0.2">
      <c r="H990" s="1"/>
      <c r="O990" s="1"/>
    </row>
    <row r="991" spans="8:15" ht="12.75" x14ac:dyDescent="0.2">
      <c r="H991" s="1"/>
      <c r="O991" s="1"/>
    </row>
    <row r="992" spans="8:15" ht="12.75" x14ac:dyDescent="0.2">
      <c r="H992" s="1"/>
      <c r="O992" s="1"/>
    </row>
    <row r="993" spans="8:15" ht="12.75" x14ac:dyDescent="0.2">
      <c r="H993" s="1"/>
      <c r="O993" s="1"/>
    </row>
    <row r="994" spans="8:15" ht="12.75" x14ac:dyDescent="0.2">
      <c r="H994" s="1"/>
      <c r="O994" s="1"/>
    </row>
    <row r="995" spans="8:15" ht="12.75" x14ac:dyDescent="0.2">
      <c r="H995" s="1"/>
      <c r="O995" s="1"/>
    </row>
    <row r="996" spans="8:15" ht="12.75" x14ac:dyDescent="0.2">
      <c r="H996" s="1"/>
      <c r="O996" s="1"/>
    </row>
    <row r="997" spans="8:15" ht="12.75" x14ac:dyDescent="0.2">
      <c r="H997" s="1"/>
      <c r="O997" s="1"/>
    </row>
    <row r="998" spans="8:15" ht="12.75" x14ac:dyDescent="0.2">
      <c r="H998" s="1"/>
      <c r="O998" s="1"/>
    </row>
    <row r="999" spans="8:15" ht="12.75" x14ac:dyDescent="0.2">
      <c r="H999" s="1"/>
      <c r="O999" s="1"/>
    </row>
    <row r="1000" spans="8:15" ht="12.75" x14ac:dyDescent="0.2">
      <c r="H1000" s="1"/>
      <c r="O1000" s="1"/>
    </row>
    <row r="1001" spans="8:15" ht="12.75" x14ac:dyDescent="0.2">
      <c r="H1001" s="1"/>
      <c r="O1001" s="1"/>
    </row>
    <row r="1002" spans="8:15" ht="12.75" x14ac:dyDescent="0.2">
      <c r="H1002" s="1"/>
      <c r="O1002" s="1"/>
    </row>
    <row r="1003" spans="8:15" ht="12.75" x14ac:dyDescent="0.2">
      <c r="H1003" s="1"/>
      <c r="O1003" s="1"/>
    </row>
    <row r="1004" spans="8:15" ht="12.75" x14ac:dyDescent="0.2">
      <c r="H1004" s="1"/>
      <c r="O1004" s="1"/>
    </row>
    <row r="1005" spans="8:15" ht="12.75" x14ac:dyDescent="0.2">
      <c r="H1005" s="1"/>
      <c r="O1005" s="1"/>
    </row>
    <row r="1006" spans="8:15" ht="12.75" x14ac:dyDescent="0.2">
      <c r="H1006" s="1"/>
      <c r="O1006" s="1"/>
    </row>
    <row r="1007" spans="8:15" ht="12.75" x14ac:dyDescent="0.2">
      <c r="H1007" s="1"/>
      <c r="O1007" s="1"/>
    </row>
    <row r="1008" spans="8:15" ht="12.75" x14ac:dyDescent="0.2">
      <c r="H1008" s="1"/>
      <c r="O1008" s="1"/>
    </row>
    <row r="1009" spans="8:15" ht="12.75" x14ac:dyDescent="0.2">
      <c r="H1009" s="1"/>
      <c r="O1009" s="1"/>
    </row>
    <row r="1010" spans="8:15" ht="12.75" x14ac:dyDescent="0.2">
      <c r="H1010" s="1"/>
      <c r="O1010" s="1"/>
    </row>
    <row r="1011" spans="8:15" ht="12.75" x14ac:dyDescent="0.2">
      <c r="H1011" s="1"/>
      <c r="O1011" s="1"/>
    </row>
    <row r="1012" spans="8:15" ht="12.75" x14ac:dyDescent="0.2">
      <c r="H1012" s="1"/>
      <c r="O1012" s="1"/>
    </row>
    <row r="1013" spans="8:15" ht="12.75" x14ac:dyDescent="0.2">
      <c r="H1013" s="1"/>
      <c r="O1013" s="1"/>
    </row>
    <row r="1014" spans="8:15" ht="12.75" x14ac:dyDescent="0.2">
      <c r="H1014" s="1"/>
      <c r="O1014" s="1"/>
    </row>
    <row r="1015" spans="8:15" ht="12.75" x14ac:dyDescent="0.2">
      <c r="H1015" s="1"/>
      <c r="O1015" s="1"/>
    </row>
    <row r="1016" spans="8:15" ht="12.75" x14ac:dyDescent="0.2">
      <c r="H1016" s="1"/>
      <c r="O1016" s="1"/>
    </row>
    <row r="1017" spans="8:15" ht="12.75" x14ac:dyDescent="0.2">
      <c r="H1017" s="1"/>
      <c r="O1017" s="1"/>
    </row>
    <row r="1018" spans="8:15" ht="12.75" x14ac:dyDescent="0.2">
      <c r="H1018" s="1"/>
      <c r="O1018" s="1"/>
    </row>
    <row r="1019" spans="8:15" ht="12.75" x14ac:dyDescent="0.2">
      <c r="H1019" s="1"/>
      <c r="O1019" s="1"/>
    </row>
  </sheetData>
  <mergeCells count="75">
    <mergeCell ref="C84:E84"/>
    <mergeCell ref="C71:C74"/>
    <mergeCell ref="D71:D74"/>
    <mergeCell ref="E71:E74"/>
    <mergeCell ref="Q71:Q74"/>
    <mergeCell ref="C75:C78"/>
    <mergeCell ref="D75:D78"/>
    <mergeCell ref="E75:E78"/>
    <mergeCell ref="Q75:Q78"/>
    <mergeCell ref="C63:C66"/>
    <mergeCell ref="D63:D66"/>
    <mergeCell ref="E63:E66"/>
    <mergeCell ref="Q63:Q66"/>
    <mergeCell ref="C67:C70"/>
    <mergeCell ref="D67:D70"/>
    <mergeCell ref="E67:E70"/>
    <mergeCell ref="Q67:Q70"/>
    <mergeCell ref="C55:C58"/>
    <mergeCell ref="D55:D58"/>
    <mergeCell ref="E55:E58"/>
    <mergeCell ref="Q55:Q58"/>
    <mergeCell ref="C59:C62"/>
    <mergeCell ref="D59:D62"/>
    <mergeCell ref="E59:E62"/>
    <mergeCell ref="Q59:Q62"/>
    <mergeCell ref="Q47:Q50"/>
    <mergeCell ref="C51:C54"/>
    <mergeCell ref="D51:D54"/>
    <mergeCell ref="E51:E54"/>
    <mergeCell ref="Q51:Q54"/>
    <mergeCell ref="B3:B29"/>
    <mergeCell ref="C3:C6"/>
    <mergeCell ref="D3:D6"/>
    <mergeCell ref="E3:E6"/>
    <mergeCell ref="Q3:Q6"/>
    <mergeCell ref="C7:C10"/>
    <mergeCell ref="C23:C25"/>
    <mergeCell ref="D23:D25"/>
    <mergeCell ref="E23:E25"/>
    <mergeCell ref="Q23:Q25"/>
    <mergeCell ref="C26:C29"/>
    <mergeCell ref="D26:D29"/>
    <mergeCell ref="E26:E29"/>
    <mergeCell ref="Q26:Q29"/>
    <mergeCell ref="C15:C17"/>
    <mergeCell ref="D15:D17"/>
    <mergeCell ref="B32:B78"/>
    <mergeCell ref="C32:C37"/>
    <mergeCell ref="D32:D37"/>
    <mergeCell ref="E32:E37"/>
    <mergeCell ref="Q32:Q37"/>
    <mergeCell ref="C39:C42"/>
    <mergeCell ref="D39:D42"/>
    <mergeCell ref="E39:E42"/>
    <mergeCell ref="Q39:Q42"/>
    <mergeCell ref="C43:C46"/>
    <mergeCell ref="D43:D46"/>
    <mergeCell ref="E43:E46"/>
    <mergeCell ref="Q43:Q46"/>
    <mergeCell ref="C47:C50"/>
    <mergeCell ref="D47:D50"/>
    <mergeCell ref="E47:E50"/>
    <mergeCell ref="E15:E17"/>
    <mergeCell ref="Q15:Q17"/>
    <mergeCell ref="C18:C22"/>
    <mergeCell ref="D18:D22"/>
    <mergeCell ref="E18:E22"/>
    <mergeCell ref="Q18:Q22"/>
    <mergeCell ref="D7:D10"/>
    <mergeCell ref="E7:E10"/>
    <mergeCell ref="Q7:Q10"/>
    <mergeCell ref="C11:C14"/>
    <mergeCell ref="D11:D14"/>
    <mergeCell ref="E11:E14"/>
    <mergeCell ref="Q11:Q14"/>
  </mergeCells>
  <conditionalFormatting sqref="G3:G29 G32:G37 G39:G78 G81">
    <cfRule type="cellIs" dxfId="5" priority="1" operator="equal">
      <formula>0</formula>
    </cfRule>
    <cfRule type="cellIs" dxfId="4" priority="2" operator="notEqual">
      <formula>0</formula>
    </cfRule>
  </conditionalFormatting>
  <dataValidations count="1">
    <dataValidation type="list" allowBlank="1" showErrorMessage="1" sqref="O3:O29 O32:O78" xr:uid="{0CFEAA84-40ED-4E1C-86F2-9CB7FDDD349A}">
      <formula1>"1º Trim,2º Trim,3º Trim,4º Trim,5º Trim,6º Trim,7º Trim"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21FE-199C-4029-A733-BD0144A5317E}">
  <sheetPr>
    <outlinePr summaryBelow="0" summaryRight="0"/>
  </sheetPr>
  <dimension ref="B1:Q1019"/>
  <sheetViews>
    <sheetView tabSelected="1" workbookViewId="0">
      <pane ySplit="2" topLeftCell="A3" activePane="bottomLeft" state="frozen"/>
      <selection pane="bottomLeft" activeCell="E23" sqref="E23:E25"/>
    </sheetView>
  </sheetViews>
  <sheetFormatPr baseColWidth="10" defaultColWidth="12.5703125" defaultRowHeight="15.75" customHeight="1" x14ac:dyDescent="0.2"/>
  <cols>
    <col min="1" max="1" width="3.42578125" customWidth="1"/>
    <col min="2" max="2" width="6.140625" customWidth="1"/>
    <col min="3" max="3" width="12.5703125" customWidth="1"/>
    <col min="4" max="4" width="9" customWidth="1"/>
    <col min="5" max="5" width="34.140625" customWidth="1"/>
    <col min="6" max="6" width="9.28515625" customWidth="1"/>
    <col min="7" max="14" width="5.5703125" customWidth="1"/>
    <col min="15" max="15" width="9.7109375" customWidth="1"/>
    <col min="16" max="16" width="203.7109375" customWidth="1"/>
    <col min="17" max="17" width="22.140625" customWidth="1"/>
  </cols>
  <sheetData>
    <row r="1" spans="2:17" ht="12.75" x14ac:dyDescent="0.2">
      <c r="H1" s="1"/>
      <c r="O1" s="1"/>
    </row>
    <row r="2" spans="2:17" ht="33" customHeight="1" x14ac:dyDescent="0.2"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</row>
    <row r="3" spans="2:17" ht="12.75" x14ac:dyDescent="0.2">
      <c r="B3" s="193" t="s">
        <v>15</v>
      </c>
      <c r="C3" s="188">
        <v>220501092</v>
      </c>
      <c r="D3" s="189">
        <v>144</v>
      </c>
      <c r="E3" s="190" t="s">
        <v>16</v>
      </c>
      <c r="F3" s="6">
        <v>36</v>
      </c>
      <c r="G3" s="6">
        <f t="shared" ref="G3:G29" si="0">F3-SUM(H3:N3)</f>
        <v>0</v>
      </c>
      <c r="H3" s="6">
        <v>36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 t="s">
        <v>17</v>
      </c>
      <c r="P3" s="154" t="s">
        <v>18</v>
      </c>
      <c r="Q3" s="199" t="s">
        <v>19</v>
      </c>
    </row>
    <row r="4" spans="2:17" ht="12.75" x14ac:dyDescent="0.2">
      <c r="B4" s="181"/>
      <c r="C4" s="181"/>
      <c r="D4" s="181"/>
      <c r="E4" s="181"/>
      <c r="F4" s="6">
        <v>36</v>
      </c>
      <c r="G4" s="6">
        <f t="shared" si="0"/>
        <v>0</v>
      </c>
      <c r="H4" s="6">
        <v>36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 t="s">
        <v>17</v>
      </c>
      <c r="P4" s="154" t="s">
        <v>20</v>
      </c>
      <c r="Q4" s="181"/>
    </row>
    <row r="5" spans="2:17" ht="12.75" x14ac:dyDescent="0.2">
      <c r="B5" s="181"/>
      <c r="C5" s="181"/>
      <c r="D5" s="181"/>
      <c r="E5" s="181"/>
      <c r="F5" s="6">
        <v>36</v>
      </c>
      <c r="G5" s="6">
        <f t="shared" si="0"/>
        <v>0</v>
      </c>
      <c r="H5" s="6">
        <v>36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 t="s">
        <v>17</v>
      </c>
      <c r="P5" s="154" t="s">
        <v>21</v>
      </c>
      <c r="Q5" s="181"/>
    </row>
    <row r="6" spans="2:17" ht="13.5" thickBot="1" x14ac:dyDescent="0.25">
      <c r="B6" s="181"/>
      <c r="C6" s="182"/>
      <c r="D6" s="182"/>
      <c r="E6" s="182"/>
      <c r="F6" s="10">
        <v>36</v>
      </c>
      <c r="G6" s="10">
        <f t="shared" si="0"/>
        <v>0</v>
      </c>
      <c r="H6" s="10">
        <v>36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 t="s">
        <v>17</v>
      </c>
      <c r="P6" s="155" t="s">
        <v>22</v>
      </c>
      <c r="Q6" s="187"/>
    </row>
    <row r="7" spans="2:17" ht="13.5" thickTop="1" x14ac:dyDescent="0.2">
      <c r="B7" s="181"/>
      <c r="C7" s="194">
        <v>220501093</v>
      </c>
      <c r="D7" s="180">
        <v>288</v>
      </c>
      <c r="E7" s="183" t="s">
        <v>23</v>
      </c>
      <c r="F7" s="15">
        <v>71</v>
      </c>
      <c r="G7" s="15">
        <f t="shared" si="0"/>
        <v>0</v>
      </c>
      <c r="H7" s="15">
        <v>0</v>
      </c>
      <c r="I7" s="179">
        <v>71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 t="s">
        <v>24</v>
      </c>
      <c r="P7" s="156" t="s">
        <v>25</v>
      </c>
      <c r="Q7" s="186" t="s">
        <v>26</v>
      </c>
    </row>
    <row r="8" spans="2:17" ht="12.75" x14ac:dyDescent="0.2">
      <c r="B8" s="181"/>
      <c r="C8" s="181"/>
      <c r="D8" s="181"/>
      <c r="E8" s="184"/>
      <c r="F8" s="15">
        <v>70</v>
      </c>
      <c r="G8" s="15">
        <f t="shared" si="0"/>
        <v>0</v>
      </c>
      <c r="H8" s="15">
        <v>0</v>
      </c>
      <c r="I8" s="179">
        <v>70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 t="s">
        <v>24</v>
      </c>
      <c r="P8" s="156" t="s">
        <v>27</v>
      </c>
      <c r="Q8" s="181"/>
    </row>
    <row r="9" spans="2:17" ht="12.75" x14ac:dyDescent="0.2">
      <c r="B9" s="181"/>
      <c r="C9" s="181"/>
      <c r="D9" s="181"/>
      <c r="E9" s="184"/>
      <c r="F9" s="15">
        <v>77</v>
      </c>
      <c r="G9" s="15">
        <f t="shared" si="0"/>
        <v>0</v>
      </c>
      <c r="H9" s="15">
        <v>77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 t="s">
        <v>17</v>
      </c>
      <c r="P9" s="156" t="s">
        <v>28</v>
      </c>
      <c r="Q9" s="181"/>
    </row>
    <row r="10" spans="2:17" ht="13.5" customHeight="1" thickBot="1" x14ac:dyDescent="0.25">
      <c r="B10" s="181"/>
      <c r="C10" s="182"/>
      <c r="D10" s="182"/>
      <c r="E10" s="185"/>
      <c r="F10" s="18">
        <v>70</v>
      </c>
      <c r="G10" s="18">
        <f t="shared" si="0"/>
        <v>0</v>
      </c>
      <c r="H10" s="18">
        <v>0</v>
      </c>
      <c r="I10" s="18">
        <v>0</v>
      </c>
      <c r="J10" s="18">
        <v>70</v>
      </c>
      <c r="K10" s="18">
        <v>0</v>
      </c>
      <c r="L10" s="18">
        <v>0</v>
      </c>
      <c r="M10" s="18">
        <v>0</v>
      </c>
      <c r="N10" s="18">
        <v>0</v>
      </c>
      <c r="O10" s="18" t="s">
        <v>29</v>
      </c>
      <c r="P10" s="152" t="s">
        <v>30</v>
      </c>
      <c r="Q10" s="187"/>
    </row>
    <row r="11" spans="2:17" ht="13.5" thickTop="1" x14ac:dyDescent="0.2">
      <c r="B11" s="181"/>
      <c r="C11" s="188">
        <v>220501095</v>
      </c>
      <c r="D11" s="189">
        <v>336</v>
      </c>
      <c r="E11" s="190" t="s">
        <v>31</v>
      </c>
      <c r="F11" s="6">
        <v>84</v>
      </c>
      <c r="G11" s="15">
        <f t="shared" si="0"/>
        <v>0</v>
      </c>
      <c r="H11" s="6">
        <v>0</v>
      </c>
      <c r="I11" s="6">
        <v>0</v>
      </c>
      <c r="J11" s="6">
        <v>84</v>
      </c>
      <c r="K11" s="6">
        <v>0</v>
      </c>
      <c r="L11" s="6">
        <v>0</v>
      </c>
      <c r="M11" s="6">
        <v>0</v>
      </c>
      <c r="N11" s="6">
        <v>0</v>
      </c>
      <c r="O11" s="6" t="s">
        <v>29</v>
      </c>
      <c r="P11" s="153" t="s">
        <v>32</v>
      </c>
      <c r="Q11" s="191" t="s">
        <v>33</v>
      </c>
    </row>
    <row r="12" spans="2:17" ht="12.75" x14ac:dyDescent="0.2">
      <c r="B12" s="181"/>
      <c r="C12" s="181"/>
      <c r="D12" s="181"/>
      <c r="E12" s="181"/>
      <c r="F12" s="21">
        <v>84</v>
      </c>
      <c r="G12" s="15">
        <f t="shared" si="0"/>
        <v>0</v>
      </c>
      <c r="H12" s="21">
        <v>0</v>
      </c>
      <c r="I12" s="21">
        <v>0</v>
      </c>
      <c r="J12" s="6">
        <v>84</v>
      </c>
      <c r="K12" s="21">
        <v>0</v>
      </c>
      <c r="L12" s="21">
        <v>0</v>
      </c>
      <c r="M12" s="21">
        <v>0</v>
      </c>
      <c r="N12" s="21">
        <v>0</v>
      </c>
      <c r="O12" s="6" t="s">
        <v>29</v>
      </c>
      <c r="P12" s="48" t="s">
        <v>34</v>
      </c>
      <c r="Q12" s="181"/>
    </row>
    <row r="13" spans="2:17" ht="12.75" x14ac:dyDescent="0.2">
      <c r="B13" s="181"/>
      <c r="C13" s="181"/>
      <c r="D13" s="181"/>
      <c r="E13" s="181"/>
      <c r="F13" s="21">
        <v>84</v>
      </c>
      <c r="G13" s="15">
        <f t="shared" si="0"/>
        <v>0</v>
      </c>
      <c r="H13" s="21">
        <v>0</v>
      </c>
      <c r="I13" s="21">
        <v>0</v>
      </c>
      <c r="J13" s="21">
        <v>0</v>
      </c>
      <c r="K13" s="21">
        <v>84</v>
      </c>
      <c r="L13" s="21">
        <v>0</v>
      </c>
      <c r="M13" s="21">
        <v>0</v>
      </c>
      <c r="N13" s="21">
        <v>0</v>
      </c>
      <c r="O13" s="6" t="s">
        <v>35</v>
      </c>
      <c r="P13" s="48" t="s">
        <v>36</v>
      </c>
      <c r="Q13" s="181"/>
    </row>
    <row r="14" spans="2:17" ht="13.5" thickBot="1" x14ac:dyDescent="0.25">
      <c r="B14" s="181"/>
      <c r="C14" s="182"/>
      <c r="D14" s="182"/>
      <c r="E14" s="182"/>
      <c r="F14" s="22">
        <v>84</v>
      </c>
      <c r="G14" s="18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84</v>
      </c>
      <c r="M14" s="22">
        <v>0</v>
      </c>
      <c r="N14" s="22">
        <v>0</v>
      </c>
      <c r="O14" s="10" t="s">
        <v>37</v>
      </c>
      <c r="P14" s="45" t="s">
        <v>38</v>
      </c>
      <c r="Q14" s="187"/>
    </row>
    <row r="15" spans="2:17" ht="14.25" customHeight="1" thickTop="1" x14ac:dyDescent="0.2">
      <c r="B15" s="181"/>
      <c r="C15" s="194">
        <v>220501094</v>
      </c>
      <c r="D15" s="180">
        <v>144</v>
      </c>
      <c r="E15" s="183" t="s">
        <v>39</v>
      </c>
      <c r="F15" s="15">
        <v>48</v>
      </c>
      <c r="G15" s="15">
        <f t="shared" si="0"/>
        <v>0</v>
      </c>
      <c r="H15" s="15">
        <v>0</v>
      </c>
      <c r="I15" s="15">
        <v>0</v>
      </c>
      <c r="J15" s="15">
        <v>48</v>
      </c>
      <c r="K15" s="15">
        <v>0</v>
      </c>
      <c r="L15" s="15">
        <v>0</v>
      </c>
      <c r="M15" s="15">
        <v>0</v>
      </c>
      <c r="N15" s="15">
        <v>0</v>
      </c>
      <c r="O15" s="15" t="s">
        <v>29</v>
      </c>
      <c r="P15" s="24" t="s">
        <v>40</v>
      </c>
      <c r="Q15" s="191" t="s">
        <v>33</v>
      </c>
    </row>
    <row r="16" spans="2:17" ht="14.25" customHeight="1" x14ac:dyDescent="0.2">
      <c r="B16" s="181"/>
      <c r="C16" s="181"/>
      <c r="D16" s="181"/>
      <c r="E16" s="181"/>
      <c r="F16" s="23">
        <v>48</v>
      </c>
      <c r="G16" s="15">
        <f t="shared" si="0"/>
        <v>0</v>
      </c>
      <c r="H16" s="23">
        <v>0</v>
      </c>
      <c r="I16" s="23">
        <v>0</v>
      </c>
      <c r="J16" s="23">
        <v>0</v>
      </c>
      <c r="K16" s="23">
        <v>48</v>
      </c>
      <c r="L16" s="23">
        <v>0</v>
      </c>
      <c r="M16" s="23">
        <v>0</v>
      </c>
      <c r="N16" s="23">
        <v>0</v>
      </c>
      <c r="O16" s="15" t="s">
        <v>35</v>
      </c>
      <c r="P16" s="24" t="s">
        <v>41</v>
      </c>
      <c r="Q16" s="181"/>
    </row>
    <row r="17" spans="2:17" ht="14.25" customHeight="1" thickBot="1" x14ac:dyDescent="0.25">
      <c r="B17" s="181"/>
      <c r="C17" s="182"/>
      <c r="D17" s="182"/>
      <c r="E17" s="182"/>
      <c r="F17" s="25">
        <v>48</v>
      </c>
      <c r="G17" s="18">
        <f t="shared" si="0"/>
        <v>0</v>
      </c>
      <c r="H17" s="25">
        <v>0</v>
      </c>
      <c r="I17" s="25">
        <v>0</v>
      </c>
      <c r="J17" s="25">
        <v>0</v>
      </c>
      <c r="K17" s="25">
        <v>0</v>
      </c>
      <c r="L17" s="25">
        <v>48</v>
      </c>
      <c r="M17" s="25">
        <v>0</v>
      </c>
      <c r="N17" s="25">
        <v>0</v>
      </c>
      <c r="O17" s="18" t="s">
        <v>37</v>
      </c>
      <c r="P17" s="19" t="s">
        <v>42</v>
      </c>
      <c r="Q17" s="182"/>
    </row>
    <row r="18" spans="2:17" ht="13.5" thickTop="1" x14ac:dyDescent="0.2">
      <c r="B18" s="181"/>
      <c r="C18" s="188">
        <v>220501096</v>
      </c>
      <c r="D18" s="189">
        <f>SUM(F18:F22)</f>
        <v>1008</v>
      </c>
      <c r="E18" s="190" t="s">
        <v>43</v>
      </c>
      <c r="F18" s="6">
        <v>140</v>
      </c>
      <c r="G18" s="6">
        <f t="shared" si="0"/>
        <v>0</v>
      </c>
      <c r="H18" s="6">
        <v>77</v>
      </c>
      <c r="I18" s="6">
        <v>0</v>
      </c>
      <c r="J18" s="6">
        <v>0</v>
      </c>
      <c r="K18" s="6">
        <v>0</v>
      </c>
      <c r="L18" s="6">
        <v>0</v>
      </c>
      <c r="M18" s="6">
        <v>31</v>
      </c>
      <c r="N18" s="6">
        <v>32</v>
      </c>
      <c r="O18" s="6" t="s">
        <v>44</v>
      </c>
      <c r="P18" s="157" t="s">
        <v>45</v>
      </c>
      <c r="Q18" s="192" t="s">
        <v>46</v>
      </c>
    </row>
    <row r="19" spans="2:17" ht="12.75" x14ac:dyDescent="0.2">
      <c r="B19" s="181"/>
      <c r="C19" s="181"/>
      <c r="D19" s="181"/>
      <c r="E19" s="181"/>
      <c r="F19" s="6">
        <v>150</v>
      </c>
      <c r="G19" s="6">
        <f t="shared" si="0"/>
        <v>0</v>
      </c>
      <c r="H19" s="6">
        <v>0</v>
      </c>
      <c r="I19" s="6">
        <v>0</v>
      </c>
      <c r="J19" s="6">
        <v>0</v>
      </c>
      <c r="K19" s="6">
        <v>50</v>
      </c>
      <c r="L19" s="6">
        <v>30</v>
      </c>
      <c r="M19" s="6">
        <v>30</v>
      </c>
      <c r="N19" s="6">
        <v>40</v>
      </c>
      <c r="O19" s="6" t="s">
        <v>44</v>
      </c>
      <c r="P19" s="158" t="s">
        <v>47</v>
      </c>
      <c r="Q19" s="181"/>
    </row>
    <row r="20" spans="2:17" ht="12.75" x14ac:dyDescent="0.2">
      <c r="B20" s="181"/>
      <c r="C20" s="181"/>
      <c r="D20" s="181"/>
      <c r="E20" s="181"/>
      <c r="F20" s="6">
        <v>210</v>
      </c>
      <c r="G20" s="6">
        <f t="shared" si="0"/>
        <v>0</v>
      </c>
      <c r="H20" s="6">
        <v>0</v>
      </c>
      <c r="I20" s="172">
        <v>70</v>
      </c>
      <c r="J20" s="6">
        <v>0</v>
      </c>
      <c r="K20" s="6">
        <v>0</v>
      </c>
      <c r="L20" s="6">
        <v>0</v>
      </c>
      <c r="M20" s="6">
        <v>45</v>
      </c>
      <c r="N20" s="6">
        <v>95</v>
      </c>
      <c r="O20" s="6" t="s">
        <v>44</v>
      </c>
      <c r="P20" s="159" t="s">
        <v>48</v>
      </c>
      <c r="Q20" s="181"/>
    </row>
    <row r="21" spans="2:17" ht="12.75" x14ac:dyDescent="0.2">
      <c r="B21" s="181"/>
      <c r="C21" s="181"/>
      <c r="D21" s="181"/>
      <c r="E21" s="181"/>
      <c r="F21" s="6">
        <v>368</v>
      </c>
      <c r="G21" s="6">
        <f t="shared" si="0"/>
        <v>0</v>
      </c>
      <c r="H21" s="6">
        <v>0</v>
      </c>
      <c r="I21" s="172">
        <v>77</v>
      </c>
      <c r="J21" s="6">
        <v>0</v>
      </c>
      <c r="K21" s="6">
        <v>56</v>
      </c>
      <c r="L21" s="6">
        <v>0</v>
      </c>
      <c r="M21" s="6">
        <v>92</v>
      </c>
      <c r="N21" s="6">
        <v>143</v>
      </c>
      <c r="O21" s="6" t="s">
        <v>44</v>
      </c>
      <c r="P21" s="160" t="s">
        <v>49</v>
      </c>
      <c r="Q21" s="181"/>
    </row>
    <row r="22" spans="2:17" ht="13.5" thickBot="1" x14ac:dyDescent="0.25">
      <c r="B22" s="181"/>
      <c r="C22" s="182"/>
      <c r="D22" s="182"/>
      <c r="E22" s="182"/>
      <c r="F22" s="10">
        <v>140</v>
      </c>
      <c r="G22" s="10">
        <f t="shared" si="0"/>
        <v>0</v>
      </c>
      <c r="H22" s="10">
        <v>0</v>
      </c>
      <c r="I22" s="10">
        <v>0</v>
      </c>
      <c r="J22" s="10">
        <v>0</v>
      </c>
      <c r="K22" s="10">
        <v>0</v>
      </c>
      <c r="L22" s="10">
        <v>76</v>
      </c>
      <c r="M22" s="10">
        <v>64</v>
      </c>
      <c r="N22" s="10">
        <v>0</v>
      </c>
      <c r="O22" s="10" t="s">
        <v>50</v>
      </c>
      <c r="P22" s="161" t="s">
        <v>51</v>
      </c>
      <c r="Q22" s="182"/>
    </row>
    <row r="23" spans="2:17" ht="13.5" thickTop="1" x14ac:dyDescent="0.2">
      <c r="B23" s="181"/>
      <c r="C23" s="194">
        <v>220501098</v>
      </c>
      <c r="D23" s="180">
        <v>144</v>
      </c>
      <c r="E23" s="183" t="s">
        <v>52</v>
      </c>
      <c r="F23" s="15">
        <v>48</v>
      </c>
      <c r="G23" s="15">
        <f t="shared" si="0"/>
        <v>0</v>
      </c>
      <c r="H23" s="27">
        <v>0</v>
      </c>
      <c r="I23" s="27">
        <v>0</v>
      </c>
      <c r="J23" s="27">
        <v>0</v>
      </c>
      <c r="K23" s="27">
        <v>48</v>
      </c>
      <c r="L23" s="27">
        <v>0</v>
      </c>
      <c r="M23" s="27">
        <v>0</v>
      </c>
      <c r="N23" s="27">
        <v>0</v>
      </c>
      <c r="O23" s="15" t="s">
        <v>35</v>
      </c>
      <c r="P23" s="28" t="s">
        <v>53</v>
      </c>
      <c r="Q23" s="192" t="s">
        <v>46</v>
      </c>
    </row>
    <row r="24" spans="2:17" ht="12.75" x14ac:dyDescent="0.2">
      <c r="B24" s="181"/>
      <c r="C24" s="181"/>
      <c r="D24" s="181"/>
      <c r="E24" s="181"/>
      <c r="F24" s="23">
        <v>48</v>
      </c>
      <c r="G24" s="15">
        <f t="shared" si="0"/>
        <v>0</v>
      </c>
      <c r="H24" s="29">
        <v>0</v>
      </c>
      <c r="I24" s="29">
        <v>0</v>
      </c>
      <c r="J24" s="29">
        <v>0</v>
      </c>
      <c r="K24" s="29">
        <v>0</v>
      </c>
      <c r="L24" s="29">
        <v>48</v>
      </c>
      <c r="M24" s="29">
        <v>0</v>
      </c>
      <c r="N24" s="29">
        <v>0</v>
      </c>
      <c r="O24" s="15" t="s">
        <v>37</v>
      </c>
      <c r="P24" s="30" t="s">
        <v>54</v>
      </c>
      <c r="Q24" s="181"/>
    </row>
    <row r="25" spans="2:17" ht="13.5" thickBot="1" x14ac:dyDescent="0.25">
      <c r="B25" s="181"/>
      <c r="C25" s="182"/>
      <c r="D25" s="182"/>
      <c r="E25" s="182"/>
      <c r="F25" s="25">
        <v>48</v>
      </c>
      <c r="G25" s="18">
        <f t="shared" si="0"/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48</v>
      </c>
      <c r="N25" s="31">
        <v>0</v>
      </c>
      <c r="O25" s="18" t="s">
        <v>50</v>
      </c>
      <c r="P25" s="32" t="s">
        <v>55</v>
      </c>
      <c r="Q25" s="187"/>
    </row>
    <row r="26" spans="2:17" ht="13.5" thickTop="1" x14ac:dyDescent="0.2">
      <c r="B26" s="181"/>
      <c r="C26" s="188">
        <v>220501097</v>
      </c>
      <c r="D26" s="189">
        <v>144</v>
      </c>
      <c r="E26" s="190" t="s">
        <v>56</v>
      </c>
      <c r="F26" s="6">
        <v>36</v>
      </c>
      <c r="G26" s="15">
        <f t="shared" si="0"/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36</v>
      </c>
      <c r="O26" s="6" t="s">
        <v>44</v>
      </c>
      <c r="P26" s="7" t="s">
        <v>57</v>
      </c>
      <c r="Q26" s="200" t="s">
        <v>58</v>
      </c>
    </row>
    <row r="27" spans="2:17" ht="12.75" x14ac:dyDescent="0.2">
      <c r="B27" s="181"/>
      <c r="C27" s="181"/>
      <c r="D27" s="181"/>
      <c r="E27" s="181"/>
      <c r="F27" s="21">
        <v>36</v>
      </c>
      <c r="G27" s="15">
        <f t="shared" si="0"/>
        <v>0</v>
      </c>
      <c r="H27" s="21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36</v>
      </c>
      <c r="O27" s="6" t="s">
        <v>44</v>
      </c>
      <c r="P27" s="9" t="s">
        <v>59</v>
      </c>
      <c r="Q27" s="181"/>
    </row>
    <row r="28" spans="2:17" ht="12.75" x14ac:dyDescent="0.2">
      <c r="B28" s="181"/>
      <c r="C28" s="181"/>
      <c r="D28" s="181"/>
      <c r="E28" s="181"/>
      <c r="F28" s="21">
        <v>36</v>
      </c>
      <c r="G28" s="15">
        <f t="shared" si="0"/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36</v>
      </c>
      <c r="N28" s="6">
        <v>0</v>
      </c>
      <c r="O28" s="6" t="s">
        <v>50</v>
      </c>
      <c r="P28" s="7" t="s">
        <v>60</v>
      </c>
      <c r="Q28" s="181"/>
    </row>
    <row r="29" spans="2:17" ht="13.5" thickBot="1" x14ac:dyDescent="0.25">
      <c r="B29" s="181"/>
      <c r="C29" s="182"/>
      <c r="D29" s="182"/>
      <c r="E29" s="182"/>
      <c r="F29" s="22">
        <v>36</v>
      </c>
      <c r="G29" s="18">
        <f t="shared" si="0"/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36</v>
      </c>
      <c r="N29" s="22">
        <v>0</v>
      </c>
      <c r="O29" s="6" t="s">
        <v>50</v>
      </c>
      <c r="P29" s="11" t="s">
        <v>61</v>
      </c>
      <c r="Q29" s="187"/>
    </row>
    <row r="30" spans="2:17" ht="17.25" thickTop="1" thickBot="1" x14ac:dyDescent="0.3">
      <c r="B30" s="34"/>
      <c r="C30" s="34"/>
      <c r="D30" s="34"/>
      <c r="E30" s="35" t="s">
        <v>62</v>
      </c>
      <c r="F30" s="36">
        <f t="shared" ref="F30:N30" si="1">SUM(F3:F29)</f>
        <v>2208</v>
      </c>
      <c r="G30" s="36">
        <f t="shared" si="1"/>
        <v>0</v>
      </c>
      <c r="H30" s="36">
        <f t="shared" si="1"/>
        <v>298</v>
      </c>
      <c r="I30" s="36">
        <f t="shared" si="1"/>
        <v>288</v>
      </c>
      <c r="J30" s="36">
        <f t="shared" si="1"/>
        <v>286</v>
      </c>
      <c r="K30" s="36">
        <f t="shared" si="1"/>
        <v>286</v>
      </c>
      <c r="L30" s="36">
        <f t="shared" si="1"/>
        <v>286</v>
      </c>
      <c r="M30" s="36">
        <f t="shared" si="1"/>
        <v>382</v>
      </c>
      <c r="N30" s="36">
        <f t="shared" si="1"/>
        <v>382</v>
      </c>
      <c r="O30" s="36"/>
      <c r="P30" s="34"/>
      <c r="Q30" s="34"/>
    </row>
    <row r="31" spans="2:17" ht="13.5" thickTop="1" x14ac:dyDescent="0.2">
      <c r="H31" s="1"/>
      <c r="O31" s="1"/>
    </row>
    <row r="32" spans="2:17" ht="25.5" x14ac:dyDescent="0.2">
      <c r="B32" s="193" t="s">
        <v>63</v>
      </c>
      <c r="C32" s="194">
        <v>240202501</v>
      </c>
      <c r="D32" s="180">
        <v>384</v>
      </c>
      <c r="E32" s="183" t="s">
        <v>64</v>
      </c>
      <c r="F32" s="15">
        <v>48</v>
      </c>
      <c r="G32" s="15">
        <f t="shared" ref="G32:G78" si="2">F32-SUM(H32:N32)</f>
        <v>0</v>
      </c>
      <c r="H32" s="15">
        <v>48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 t="s">
        <v>17</v>
      </c>
      <c r="P32" s="167" t="s">
        <v>65</v>
      </c>
      <c r="Q32" s="195"/>
    </row>
    <row r="33" spans="2:17" ht="25.5" x14ac:dyDescent="0.2">
      <c r="B33" s="181"/>
      <c r="C33" s="181"/>
      <c r="D33" s="181"/>
      <c r="E33" s="181"/>
      <c r="F33" s="15">
        <v>48</v>
      </c>
      <c r="G33" s="15">
        <f t="shared" si="2"/>
        <v>0</v>
      </c>
      <c r="H33" s="15">
        <v>0</v>
      </c>
      <c r="I33" s="15">
        <v>0</v>
      </c>
      <c r="J33" s="15">
        <v>48</v>
      </c>
      <c r="K33" s="15">
        <v>0</v>
      </c>
      <c r="L33" s="15">
        <v>0</v>
      </c>
      <c r="M33" s="15">
        <v>0</v>
      </c>
      <c r="N33" s="15">
        <v>0</v>
      </c>
      <c r="O33" s="15" t="s">
        <v>29</v>
      </c>
      <c r="P33" s="151" t="s">
        <v>66</v>
      </c>
      <c r="Q33" s="181"/>
    </row>
    <row r="34" spans="2:17" ht="12.75" x14ac:dyDescent="0.2">
      <c r="B34" s="181"/>
      <c r="C34" s="181"/>
      <c r="D34" s="181"/>
      <c r="E34" s="181"/>
      <c r="F34" s="15">
        <v>48</v>
      </c>
      <c r="G34" s="15">
        <f t="shared" si="2"/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48</v>
      </c>
      <c r="O34" s="15" t="s">
        <v>44</v>
      </c>
      <c r="P34" s="37" t="s">
        <v>67</v>
      </c>
      <c r="Q34" s="181"/>
    </row>
    <row r="35" spans="2:17" ht="12.75" x14ac:dyDescent="0.2">
      <c r="B35" s="181"/>
      <c r="C35" s="181"/>
      <c r="D35" s="181"/>
      <c r="E35" s="181"/>
      <c r="F35" s="15">
        <v>48</v>
      </c>
      <c r="G35" s="15">
        <f t="shared" si="2"/>
        <v>0</v>
      </c>
      <c r="H35" s="15">
        <v>0</v>
      </c>
      <c r="I35" s="15">
        <v>0</v>
      </c>
      <c r="J35" s="15">
        <v>0</v>
      </c>
      <c r="K35" s="15">
        <v>48</v>
      </c>
      <c r="L35" s="15">
        <v>0</v>
      </c>
      <c r="M35" s="15">
        <v>0</v>
      </c>
      <c r="N35" s="15">
        <v>0</v>
      </c>
      <c r="O35" s="15" t="s">
        <v>35</v>
      </c>
      <c r="P35" s="38" t="s">
        <v>68</v>
      </c>
      <c r="Q35" s="181"/>
    </row>
    <row r="36" spans="2:17" ht="12.75" x14ac:dyDescent="0.2">
      <c r="B36" s="181"/>
      <c r="C36" s="181"/>
      <c r="D36" s="181"/>
      <c r="E36" s="181"/>
      <c r="F36" s="15">
        <f>48*2</f>
        <v>96</v>
      </c>
      <c r="G36" s="15">
        <f t="shared" si="2"/>
        <v>0</v>
      </c>
      <c r="H36" s="15">
        <v>0</v>
      </c>
      <c r="I36" s="15">
        <v>0</v>
      </c>
      <c r="J36" s="15">
        <v>0</v>
      </c>
      <c r="K36" s="15">
        <v>0</v>
      </c>
      <c r="L36" s="15">
        <v>48</v>
      </c>
      <c r="M36" s="15">
        <v>48</v>
      </c>
      <c r="N36" s="15">
        <v>0</v>
      </c>
      <c r="O36" s="15" t="s">
        <v>50</v>
      </c>
      <c r="P36" s="38" t="s">
        <v>69</v>
      </c>
      <c r="Q36" s="181"/>
    </row>
    <row r="37" spans="2:17" ht="13.5" thickBot="1" x14ac:dyDescent="0.25">
      <c r="B37" s="181"/>
      <c r="C37" s="182"/>
      <c r="D37" s="182"/>
      <c r="E37" s="182"/>
      <c r="F37" s="39">
        <v>48</v>
      </c>
      <c r="G37" s="39">
        <f t="shared" si="2"/>
        <v>0</v>
      </c>
      <c r="H37" s="39">
        <v>0</v>
      </c>
      <c r="I37" s="175">
        <v>48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18" t="s">
        <v>24</v>
      </c>
      <c r="P37" s="152" t="s">
        <v>70</v>
      </c>
      <c r="Q37" s="196"/>
    </row>
    <row r="38" spans="2:17" ht="17.25" thickTop="1" thickBot="1" x14ac:dyDescent="0.25">
      <c r="B38" s="181"/>
      <c r="C38" s="41">
        <v>240201530</v>
      </c>
      <c r="D38" s="42">
        <v>48</v>
      </c>
      <c r="E38" s="43" t="s">
        <v>71</v>
      </c>
      <c r="F38" s="10">
        <v>48</v>
      </c>
      <c r="G38" s="10">
        <f t="shared" si="2"/>
        <v>0</v>
      </c>
      <c r="H38" s="10">
        <v>48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44" t="s">
        <v>17</v>
      </c>
      <c r="P38" s="45" t="s">
        <v>72</v>
      </c>
      <c r="Q38" s="45"/>
    </row>
    <row r="39" spans="2:17" ht="13.5" thickTop="1" x14ac:dyDescent="0.2">
      <c r="B39" s="181"/>
      <c r="C39" s="194">
        <v>220501046</v>
      </c>
      <c r="D39" s="180">
        <v>48</v>
      </c>
      <c r="E39" s="183" t="s">
        <v>73</v>
      </c>
      <c r="F39" s="15">
        <f t="shared" ref="F39:F46" si="3">48/4</f>
        <v>12</v>
      </c>
      <c r="G39" s="15">
        <f t="shared" si="2"/>
        <v>0</v>
      </c>
      <c r="H39" s="15">
        <v>12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 t="s">
        <v>17</v>
      </c>
      <c r="P39" s="156" t="s">
        <v>74</v>
      </c>
      <c r="Q39" s="195"/>
    </row>
    <row r="40" spans="2:17" ht="12.75" x14ac:dyDescent="0.2">
      <c r="B40" s="181"/>
      <c r="C40" s="181"/>
      <c r="D40" s="181"/>
      <c r="E40" s="181"/>
      <c r="F40" s="15">
        <f t="shared" si="3"/>
        <v>12</v>
      </c>
      <c r="G40" s="15">
        <f t="shared" si="2"/>
        <v>0</v>
      </c>
      <c r="H40" s="15">
        <v>12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 t="s">
        <v>17</v>
      </c>
      <c r="P40" s="156" t="s">
        <v>75</v>
      </c>
      <c r="Q40" s="181"/>
    </row>
    <row r="41" spans="2:17" ht="12.75" x14ac:dyDescent="0.2">
      <c r="B41" s="181"/>
      <c r="C41" s="181"/>
      <c r="D41" s="181"/>
      <c r="E41" s="181"/>
      <c r="F41" s="15">
        <f t="shared" si="3"/>
        <v>12</v>
      </c>
      <c r="G41" s="15">
        <f t="shared" si="2"/>
        <v>0</v>
      </c>
      <c r="H41" s="15">
        <v>12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 t="s">
        <v>17</v>
      </c>
      <c r="P41" s="156" t="s">
        <v>76</v>
      </c>
      <c r="Q41" s="181"/>
    </row>
    <row r="42" spans="2:17" ht="13.5" thickBot="1" x14ac:dyDescent="0.25">
      <c r="B42" s="181"/>
      <c r="C42" s="182"/>
      <c r="D42" s="182"/>
      <c r="E42" s="182"/>
      <c r="F42" s="18">
        <f t="shared" si="3"/>
        <v>12</v>
      </c>
      <c r="G42" s="18">
        <f t="shared" si="2"/>
        <v>0</v>
      </c>
      <c r="H42" s="18">
        <v>12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 t="s">
        <v>17</v>
      </c>
      <c r="P42" s="152" t="s">
        <v>77</v>
      </c>
      <c r="Q42" s="197"/>
    </row>
    <row r="43" spans="2:17" ht="13.5" thickTop="1" x14ac:dyDescent="0.2">
      <c r="B43" s="181"/>
      <c r="C43" s="188">
        <v>240201528</v>
      </c>
      <c r="D43" s="189">
        <v>48</v>
      </c>
      <c r="E43" s="190" t="s">
        <v>78</v>
      </c>
      <c r="F43" s="6">
        <f t="shared" si="3"/>
        <v>12</v>
      </c>
      <c r="G43" s="15">
        <f t="shared" si="2"/>
        <v>0</v>
      </c>
      <c r="H43" s="6">
        <v>12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 t="s">
        <v>17</v>
      </c>
      <c r="P43" s="154" t="s">
        <v>79</v>
      </c>
      <c r="Q43" s="198"/>
    </row>
    <row r="44" spans="2:17" ht="12.75" x14ac:dyDescent="0.2">
      <c r="B44" s="181"/>
      <c r="C44" s="181"/>
      <c r="D44" s="181"/>
      <c r="E44" s="181"/>
      <c r="F44" s="6">
        <f t="shared" si="3"/>
        <v>12</v>
      </c>
      <c r="G44" s="15">
        <f t="shared" si="2"/>
        <v>0</v>
      </c>
      <c r="H44" s="21">
        <v>12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6" t="s">
        <v>17</v>
      </c>
      <c r="P44" s="154" t="s">
        <v>80</v>
      </c>
      <c r="Q44" s="181"/>
    </row>
    <row r="45" spans="2:17" ht="12.75" x14ac:dyDescent="0.2">
      <c r="B45" s="181"/>
      <c r="C45" s="181"/>
      <c r="D45" s="181"/>
      <c r="E45" s="181"/>
      <c r="F45" s="6">
        <f t="shared" si="3"/>
        <v>12</v>
      </c>
      <c r="G45" s="15">
        <f t="shared" si="2"/>
        <v>0</v>
      </c>
      <c r="H45" s="21">
        <v>12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6" t="s">
        <v>17</v>
      </c>
      <c r="P45" s="154" t="s">
        <v>81</v>
      </c>
      <c r="Q45" s="181"/>
    </row>
    <row r="46" spans="2:17" ht="13.5" thickBot="1" x14ac:dyDescent="0.25">
      <c r="B46" s="181"/>
      <c r="C46" s="182"/>
      <c r="D46" s="182"/>
      <c r="E46" s="182"/>
      <c r="F46" s="22">
        <f t="shared" si="3"/>
        <v>12</v>
      </c>
      <c r="G46" s="18">
        <f t="shared" si="2"/>
        <v>0</v>
      </c>
      <c r="H46" s="22">
        <v>12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44" t="s">
        <v>17</v>
      </c>
      <c r="P46" s="162" t="s">
        <v>82</v>
      </c>
      <c r="Q46" s="197"/>
    </row>
    <row r="47" spans="2:17" ht="13.5" thickTop="1" x14ac:dyDescent="0.2">
      <c r="B47" s="181"/>
      <c r="C47" s="194">
        <v>240201064</v>
      </c>
      <c r="D47" s="180">
        <v>48</v>
      </c>
      <c r="E47" s="183" t="s">
        <v>83</v>
      </c>
      <c r="F47" s="15">
        <v>12</v>
      </c>
      <c r="G47" s="15">
        <f t="shared" si="2"/>
        <v>0</v>
      </c>
      <c r="H47" s="15">
        <v>0</v>
      </c>
      <c r="I47" s="171">
        <v>12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 t="s">
        <v>24</v>
      </c>
      <c r="P47" s="156" t="s">
        <v>84</v>
      </c>
      <c r="Q47" s="195"/>
    </row>
    <row r="48" spans="2:17" ht="12.75" x14ac:dyDescent="0.2">
      <c r="B48" s="181"/>
      <c r="C48" s="181"/>
      <c r="D48" s="181"/>
      <c r="E48" s="181"/>
      <c r="F48" s="23">
        <v>12</v>
      </c>
      <c r="G48" s="15">
        <f t="shared" si="2"/>
        <v>0</v>
      </c>
      <c r="H48" s="23">
        <v>0</v>
      </c>
      <c r="I48" s="176">
        <v>12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15" t="s">
        <v>24</v>
      </c>
      <c r="P48" s="156" t="s">
        <v>85</v>
      </c>
      <c r="Q48" s="181"/>
    </row>
    <row r="49" spans="2:17" ht="12.75" x14ac:dyDescent="0.2">
      <c r="B49" s="181"/>
      <c r="C49" s="181"/>
      <c r="D49" s="181"/>
      <c r="E49" s="181"/>
      <c r="F49" s="46">
        <v>12</v>
      </c>
      <c r="G49" s="15">
        <f t="shared" si="2"/>
        <v>0</v>
      </c>
      <c r="H49" s="46">
        <v>0</v>
      </c>
      <c r="I49" s="177">
        <v>12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15" t="s">
        <v>24</v>
      </c>
      <c r="P49" s="156" t="s">
        <v>86</v>
      </c>
      <c r="Q49" s="181"/>
    </row>
    <row r="50" spans="2:17" ht="13.5" thickBot="1" x14ac:dyDescent="0.25">
      <c r="B50" s="181"/>
      <c r="C50" s="182"/>
      <c r="D50" s="182"/>
      <c r="E50" s="182"/>
      <c r="F50" s="25">
        <v>12</v>
      </c>
      <c r="G50" s="18">
        <f t="shared" si="2"/>
        <v>0</v>
      </c>
      <c r="H50" s="25">
        <v>0</v>
      </c>
      <c r="I50" s="178">
        <v>12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18" t="s">
        <v>24</v>
      </c>
      <c r="P50" s="152" t="s">
        <v>87</v>
      </c>
      <c r="Q50" s="197"/>
    </row>
    <row r="51" spans="2:17" ht="13.5" thickTop="1" x14ac:dyDescent="0.2">
      <c r="B51" s="181"/>
      <c r="C51" s="188">
        <v>220201501</v>
      </c>
      <c r="D51" s="189">
        <v>48</v>
      </c>
      <c r="E51" s="190" t="s">
        <v>88</v>
      </c>
      <c r="F51" s="6">
        <v>12</v>
      </c>
      <c r="G51" s="15">
        <f t="shared" si="2"/>
        <v>0</v>
      </c>
      <c r="H51" s="6">
        <v>0</v>
      </c>
      <c r="I51" s="172">
        <v>12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 t="s">
        <v>24</v>
      </c>
      <c r="P51" s="154" t="s">
        <v>89</v>
      </c>
      <c r="Q51" s="198"/>
    </row>
    <row r="52" spans="2:17" ht="12.75" x14ac:dyDescent="0.2">
      <c r="B52" s="181"/>
      <c r="C52" s="181"/>
      <c r="D52" s="181"/>
      <c r="E52" s="181"/>
      <c r="F52" s="21">
        <v>12</v>
      </c>
      <c r="G52" s="15">
        <f t="shared" si="2"/>
        <v>0</v>
      </c>
      <c r="H52" s="21">
        <v>0</v>
      </c>
      <c r="I52" s="173">
        <v>12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6" t="s">
        <v>24</v>
      </c>
      <c r="P52" s="154" t="s">
        <v>90</v>
      </c>
      <c r="Q52" s="181"/>
    </row>
    <row r="53" spans="2:17" ht="12.75" x14ac:dyDescent="0.2">
      <c r="B53" s="181"/>
      <c r="C53" s="181"/>
      <c r="D53" s="181"/>
      <c r="E53" s="181"/>
      <c r="F53" s="21">
        <v>12</v>
      </c>
      <c r="G53" s="15">
        <f t="shared" si="2"/>
        <v>0</v>
      </c>
      <c r="H53" s="21">
        <v>0</v>
      </c>
      <c r="I53" s="173">
        <v>12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6" t="s">
        <v>24</v>
      </c>
      <c r="P53" s="154" t="s">
        <v>91</v>
      </c>
      <c r="Q53" s="181"/>
    </row>
    <row r="54" spans="2:17" ht="13.5" thickBot="1" x14ac:dyDescent="0.25">
      <c r="B54" s="181"/>
      <c r="C54" s="182"/>
      <c r="D54" s="182"/>
      <c r="E54" s="182"/>
      <c r="F54" s="22">
        <v>12</v>
      </c>
      <c r="G54" s="18">
        <f t="shared" si="2"/>
        <v>0</v>
      </c>
      <c r="H54" s="22">
        <v>0</v>
      </c>
      <c r="I54" s="174">
        <v>12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44" t="s">
        <v>24</v>
      </c>
      <c r="P54" s="162" t="s">
        <v>92</v>
      </c>
      <c r="Q54" s="197"/>
    </row>
    <row r="55" spans="2:17" ht="13.5" thickTop="1" x14ac:dyDescent="0.2">
      <c r="B55" s="181"/>
      <c r="C55" s="194">
        <v>240201524</v>
      </c>
      <c r="D55" s="180">
        <v>48</v>
      </c>
      <c r="E55" s="183" t="s">
        <v>93</v>
      </c>
      <c r="F55" s="15">
        <v>12</v>
      </c>
      <c r="G55" s="15">
        <f t="shared" si="2"/>
        <v>0</v>
      </c>
      <c r="H55" s="15">
        <v>0</v>
      </c>
      <c r="I55" s="15">
        <v>0</v>
      </c>
      <c r="J55" s="15">
        <v>12</v>
      </c>
      <c r="K55" s="15">
        <v>0</v>
      </c>
      <c r="L55" s="15">
        <v>0</v>
      </c>
      <c r="M55" s="15">
        <v>0</v>
      </c>
      <c r="N55" s="15">
        <v>0</v>
      </c>
      <c r="O55" s="15" t="s">
        <v>29</v>
      </c>
      <c r="P55" s="24" t="s">
        <v>94</v>
      </c>
      <c r="Q55" s="195"/>
    </row>
    <row r="56" spans="2:17" ht="12.75" x14ac:dyDescent="0.2">
      <c r="B56" s="181"/>
      <c r="C56" s="181"/>
      <c r="D56" s="181"/>
      <c r="E56" s="181"/>
      <c r="F56" s="15">
        <v>12</v>
      </c>
      <c r="G56" s="15">
        <f t="shared" si="2"/>
        <v>0</v>
      </c>
      <c r="H56" s="15"/>
      <c r="I56" s="15"/>
      <c r="J56" s="15">
        <v>12</v>
      </c>
      <c r="K56" s="15"/>
      <c r="L56" s="15"/>
      <c r="M56" s="15"/>
      <c r="N56" s="15"/>
      <c r="O56" s="15" t="s">
        <v>29</v>
      </c>
      <c r="P56" s="24" t="s">
        <v>95</v>
      </c>
      <c r="Q56" s="181"/>
    </row>
    <row r="57" spans="2:17" ht="12.75" x14ac:dyDescent="0.2">
      <c r="B57" s="181"/>
      <c r="C57" s="181"/>
      <c r="D57" s="181"/>
      <c r="E57" s="181"/>
      <c r="F57" s="23">
        <v>12</v>
      </c>
      <c r="G57" s="15">
        <f t="shared" si="2"/>
        <v>0</v>
      </c>
      <c r="H57" s="23">
        <v>0</v>
      </c>
      <c r="I57" s="23">
        <v>0</v>
      </c>
      <c r="J57" s="23">
        <v>12</v>
      </c>
      <c r="K57" s="23">
        <v>0</v>
      </c>
      <c r="L57" s="23">
        <v>0</v>
      </c>
      <c r="M57" s="23">
        <v>0</v>
      </c>
      <c r="N57" s="23">
        <v>0</v>
      </c>
      <c r="O57" s="15" t="s">
        <v>29</v>
      </c>
      <c r="P57" s="24" t="s">
        <v>96</v>
      </c>
      <c r="Q57" s="181"/>
    </row>
    <row r="58" spans="2:17" ht="13.5" thickBot="1" x14ac:dyDescent="0.25">
      <c r="B58" s="181"/>
      <c r="C58" s="182"/>
      <c r="D58" s="182"/>
      <c r="E58" s="182"/>
      <c r="F58" s="25">
        <v>12</v>
      </c>
      <c r="G58" s="18">
        <f t="shared" si="2"/>
        <v>0</v>
      </c>
      <c r="H58" s="25">
        <v>0</v>
      </c>
      <c r="I58" s="25">
        <v>0</v>
      </c>
      <c r="J58" s="25">
        <v>12</v>
      </c>
      <c r="K58" s="25">
        <v>0</v>
      </c>
      <c r="L58" s="25">
        <v>0</v>
      </c>
      <c r="M58" s="25">
        <v>0</v>
      </c>
      <c r="N58" s="25">
        <v>0</v>
      </c>
      <c r="O58" s="18" t="s">
        <v>29</v>
      </c>
      <c r="P58" s="19" t="s">
        <v>97</v>
      </c>
      <c r="Q58" s="197"/>
    </row>
    <row r="59" spans="2:17" ht="13.5" thickTop="1" x14ac:dyDescent="0.2">
      <c r="B59" s="181"/>
      <c r="C59" s="188">
        <v>240201526</v>
      </c>
      <c r="D59" s="189">
        <v>48</v>
      </c>
      <c r="E59" s="190" t="s">
        <v>98</v>
      </c>
      <c r="F59" s="6">
        <v>12</v>
      </c>
      <c r="G59" s="15">
        <f t="shared" si="2"/>
        <v>0</v>
      </c>
      <c r="H59" s="6">
        <v>0</v>
      </c>
      <c r="I59" s="6">
        <v>0</v>
      </c>
      <c r="J59" s="6">
        <v>12</v>
      </c>
      <c r="K59" s="6">
        <v>0</v>
      </c>
      <c r="L59" s="6">
        <v>0</v>
      </c>
      <c r="M59" s="6">
        <v>0</v>
      </c>
      <c r="N59" s="6">
        <v>0</v>
      </c>
      <c r="O59" s="6" t="s">
        <v>29</v>
      </c>
      <c r="P59" s="7" t="s">
        <v>99</v>
      </c>
      <c r="Q59" s="198"/>
    </row>
    <row r="60" spans="2:17" ht="12.75" x14ac:dyDescent="0.2">
      <c r="B60" s="181"/>
      <c r="C60" s="181"/>
      <c r="D60" s="181"/>
      <c r="E60" s="181"/>
      <c r="F60" s="21">
        <v>12</v>
      </c>
      <c r="G60" s="15">
        <f t="shared" si="2"/>
        <v>0</v>
      </c>
      <c r="H60" s="21">
        <v>0</v>
      </c>
      <c r="I60" s="21">
        <v>0</v>
      </c>
      <c r="J60" s="21">
        <v>12</v>
      </c>
      <c r="K60" s="21">
        <v>0</v>
      </c>
      <c r="L60" s="21">
        <v>0</v>
      </c>
      <c r="M60" s="21">
        <v>0</v>
      </c>
      <c r="N60" s="21">
        <v>0</v>
      </c>
      <c r="O60" s="6" t="s">
        <v>29</v>
      </c>
      <c r="P60" s="7" t="s">
        <v>100</v>
      </c>
      <c r="Q60" s="181"/>
    </row>
    <row r="61" spans="2:17" ht="12.75" x14ac:dyDescent="0.2">
      <c r="B61" s="181"/>
      <c r="C61" s="181"/>
      <c r="D61" s="181"/>
      <c r="E61" s="181"/>
      <c r="F61" s="21">
        <v>12</v>
      </c>
      <c r="G61" s="15">
        <f t="shared" si="2"/>
        <v>0</v>
      </c>
      <c r="H61" s="21">
        <v>0</v>
      </c>
      <c r="I61" s="21">
        <v>0</v>
      </c>
      <c r="J61" s="21">
        <v>12</v>
      </c>
      <c r="K61" s="21">
        <v>0</v>
      </c>
      <c r="L61" s="21">
        <v>0</v>
      </c>
      <c r="M61" s="21">
        <v>0</v>
      </c>
      <c r="N61" s="21">
        <v>0</v>
      </c>
      <c r="O61" s="6" t="s">
        <v>29</v>
      </c>
      <c r="P61" s="48" t="s">
        <v>101</v>
      </c>
      <c r="Q61" s="181"/>
    </row>
    <row r="62" spans="2:17" ht="13.5" thickBot="1" x14ac:dyDescent="0.25">
      <c r="B62" s="181"/>
      <c r="C62" s="182"/>
      <c r="D62" s="182"/>
      <c r="E62" s="182"/>
      <c r="F62" s="49">
        <v>12</v>
      </c>
      <c r="G62" s="50">
        <f t="shared" si="2"/>
        <v>0</v>
      </c>
      <c r="H62" s="49">
        <v>0</v>
      </c>
      <c r="I62" s="49">
        <v>0</v>
      </c>
      <c r="J62" s="49">
        <v>12</v>
      </c>
      <c r="K62" s="49">
        <v>0</v>
      </c>
      <c r="L62" s="49">
        <v>0</v>
      </c>
      <c r="M62" s="49">
        <v>0</v>
      </c>
      <c r="N62" s="49">
        <v>0</v>
      </c>
      <c r="O62" s="44" t="s">
        <v>29</v>
      </c>
      <c r="P62" s="51" t="s">
        <v>102</v>
      </c>
      <c r="Q62" s="197"/>
    </row>
    <row r="63" spans="2:17" ht="13.5" thickTop="1" x14ac:dyDescent="0.2">
      <c r="B63" s="181"/>
      <c r="C63" s="201">
        <v>220601501</v>
      </c>
      <c r="D63" s="204">
        <v>48</v>
      </c>
      <c r="E63" s="206" t="s">
        <v>103</v>
      </c>
      <c r="F63" s="52">
        <v>12</v>
      </c>
      <c r="G63" s="52">
        <f t="shared" si="2"/>
        <v>0</v>
      </c>
      <c r="H63" s="52">
        <v>0</v>
      </c>
      <c r="I63" s="52">
        <v>0</v>
      </c>
      <c r="J63" s="52">
        <v>0</v>
      </c>
      <c r="K63" s="52">
        <v>12</v>
      </c>
      <c r="L63" s="52">
        <v>0</v>
      </c>
      <c r="M63" s="52">
        <v>0</v>
      </c>
      <c r="N63" s="53">
        <v>0</v>
      </c>
      <c r="O63" s="15" t="s">
        <v>35</v>
      </c>
      <c r="P63" s="54" t="s">
        <v>104</v>
      </c>
      <c r="Q63" s="195"/>
    </row>
    <row r="64" spans="2:17" ht="12.75" x14ac:dyDescent="0.2">
      <c r="B64" s="181"/>
      <c r="C64" s="202"/>
      <c r="D64" s="181"/>
      <c r="E64" s="181"/>
      <c r="F64" s="46">
        <v>12</v>
      </c>
      <c r="G64" s="50">
        <f t="shared" si="2"/>
        <v>0</v>
      </c>
      <c r="H64" s="46">
        <v>0</v>
      </c>
      <c r="I64" s="46">
        <v>0</v>
      </c>
      <c r="J64" s="46">
        <v>0</v>
      </c>
      <c r="K64" s="46">
        <v>12</v>
      </c>
      <c r="L64" s="46">
        <v>0</v>
      </c>
      <c r="M64" s="46">
        <v>0</v>
      </c>
      <c r="N64" s="50">
        <v>0</v>
      </c>
      <c r="O64" s="15" t="s">
        <v>35</v>
      </c>
      <c r="P64" s="16" t="s">
        <v>105</v>
      </c>
      <c r="Q64" s="181"/>
    </row>
    <row r="65" spans="2:17" ht="12.75" x14ac:dyDescent="0.2">
      <c r="B65" s="181"/>
      <c r="C65" s="202"/>
      <c r="D65" s="181"/>
      <c r="E65" s="181"/>
      <c r="F65" s="50">
        <v>12</v>
      </c>
      <c r="G65" s="50">
        <f t="shared" si="2"/>
        <v>0</v>
      </c>
      <c r="H65" s="50">
        <v>0</v>
      </c>
      <c r="I65" s="50">
        <v>0</v>
      </c>
      <c r="J65" s="50">
        <v>0</v>
      </c>
      <c r="K65" s="50">
        <v>12</v>
      </c>
      <c r="L65" s="50">
        <v>0</v>
      </c>
      <c r="M65" s="50">
        <v>0</v>
      </c>
      <c r="N65" s="50">
        <v>0</v>
      </c>
      <c r="O65" s="15" t="s">
        <v>35</v>
      </c>
      <c r="P65" s="47" t="s">
        <v>106</v>
      </c>
      <c r="Q65" s="181"/>
    </row>
    <row r="66" spans="2:17" ht="13.5" thickBot="1" x14ac:dyDescent="0.25">
      <c r="B66" s="181"/>
      <c r="C66" s="203"/>
      <c r="D66" s="205"/>
      <c r="E66" s="205"/>
      <c r="F66" s="55">
        <v>12</v>
      </c>
      <c r="G66" s="55">
        <f t="shared" si="2"/>
        <v>0</v>
      </c>
      <c r="H66" s="55">
        <v>0</v>
      </c>
      <c r="I66" s="55">
        <v>0</v>
      </c>
      <c r="J66" s="55">
        <v>0</v>
      </c>
      <c r="K66" s="55">
        <v>12</v>
      </c>
      <c r="L66" s="55">
        <v>0</v>
      </c>
      <c r="M66" s="55">
        <v>0</v>
      </c>
      <c r="N66" s="55">
        <v>0</v>
      </c>
      <c r="O66" s="18" t="s">
        <v>35</v>
      </c>
      <c r="P66" s="56" t="s">
        <v>107</v>
      </c>
      <c r="Q66" s="197"/>
    </row>
    <row r="67" spans="2:17" ht="13.5" thickTop="1" x14ac:dyDescent="0.2">
      <c r="B67" s="181"/>
      <c r="C67" s="188">
        <v>230101507</v>
      </c>
      <c r="D67" s="189">
        <v>48</v>
      </c>
      <c r="E67" s="190" t="s">
        <v>108</v>
      </c>
      <c r="F67" s="6">
        <v>12</v>
      </c>
      <c r="G67" s="15">
        <f t="shared" si="2"/>
        <v>0</v>
      </c>
      <c r="H67" s="6">
        <v>0</v>
      </c>
      <c r="I67" s="6">
        <v>0</v>
      </c>
      <c r="J67" s="6">
        <v>0</v>
      </c>
      <c r="K67" s="6">
        <v>12</v>
      </c>
      <c r="L67" s="6">
        <v>0</v>
      </c>
      <c r="M67" s="6">
        <v>0</v>
      </c>
      <c r="N67" s="6">
        <v>0</v>
      </c>
      <c r="O67" s="6" t="s">
        <v>35</v>
      </c>
      <c r="P67" s="7" t="s">
        <v>109</v>
      </c>
      <c r="Q67" s="198"/>
    </row>
    <row r="68" spans="2:17" ht="12.75" x14ac:dyDescent="0.2">
      <c r="B68" s="181"/>
      <c r="C68" s="181"/>
      <c r="D68" s="181"/>
      <c r="E68" s="181"/>
      <c r="F68" s="21">
        <v>12</v>
      </c>
      <c r="G68" s="15">
        <f t="shared" si="2"/>
        <v>0</v>
      </c>
      <c r="H68" s="21">
        <v>0</v>
      </c>
      <c r="I68" s="21">
        <v>0</v>
      </c>
      <c r="J68" s="21">
        <v>0</v>
      </c>
      <c r="K68" s="21">
        <v>12</v>
      </c>
      <c r="L68" s="21">
        <v>0</v>
      </c>
      <c r="M68" s="21">
        <v>0</v>
      </c>
      <c r="N68" s="21">
        <v>0</v>
      </c>
      <c r="O68" s="6" t="s">
        <v>35</v>
      </c>
      <c r="P68" s="7" t="s">
        <v>110</v>
      </c>
      <c r="Q68" s="181"/>
    </row>
    <row r="69" spans="2:17" ht="12.75" x14ac:dyDescent="0.2">
      <c r="B69" s="181"/>
      <c r="C69" s="181"/>
      <c r="D69" s="181"/>
      <c r="E69" s="181"/>
      <c r="F69" s="21">
        <v>12</v>
      </c>
      <c r="G69" s="15">
        <f t="shared" si="2"/>
        <v>0</v>
      </c>
      <c r="H69" s="21">
        <v>0</v>
      </c>
      <c r="I69" s="21">
        <v>0</v>
      </c>
      <c r="J69" s="21">
        <v>0</v>
      </c>
      <c r="K69" s="21">
        <v>12</v>
      </c>
      <c r="L69" s="21">
        <v>0</v>
      </c>
      <c r="M69" s="21">
        <v>0</v>
      </c>
      <c r="N69" s="21">
        <v>0</v>
      </c>
      <c r="O69" s="6" t="s">
        <v>35</v>
      </c>
      <c r="P69" s="7" t="s">
        <v>111</v>
      </c>
      <c r="Q69" s="181"/>
    </row>
    <row r="70" spans="2:17" ht="13.5" thickBot="1" x14ac:dyDescent="0.25">
      <c r="B70" s="181"/>
      <c r="C70" s="182"/>
      <c r="D70" s="182"/>
      <c r="E70" s="182"/>
      <c r="F70" s="49">
        <v>12</v>
      </c>
      <c r="G70" s="50">
        <f t="shared" si="2"/>
        <v>0</v>
      </c>
      <c r="H70" s="49">
        <v>0</v>
      </c>
      <c r="I70" s="49">
        <v>0</v>
      </c>
      <c r="J70" s="49">
        <v>0</v>
      </c>
      <c r="K70" s="49">
        <v>12</v>
      </c>
      <c r="L70" s="49">
        <v>0</v>
      </c>
      <c r="M70" s="49">
        <v>0</v>
      </c>
      <c r="N70" s="49">
        <v>0</v>
      </c>
      <c r="O70" s="44" t="s">
        <v>35</v>
      </c>
      <c r="P70" s="48" t="s">
        <v>112</v>
      </c>
      <c r="Q70" s="197"/>
    </row>
    <row r="71" spans="2:17" ht="13.5" thickTop="1" x14ac:dyDescent="0.2">
      <c r="B71" s="181"/>
      <c r="C71" s="201">
        <v>240201529</v>
      </c>
      <c r="D71" s="204">
        <v>48</v>
      </c>
      <c r="E71" s="206" t="s">
        <v>113</v>
      </c>
      <c r="F71" s="52">
        <v>12</v>
      </c>
      <c r="G71" s="52">
        <f t="shared" si="2"/>
        <v>0</v>
      </c>
      <c r="H71" s="52">
        <v>0</v>
      </c>
      <c r="I71" s="52">
        <v>0</v>
      </c>
      <c r="J71" s="52">
        <v>0</v>
      </c>
      <c r="K71" s="52">
        <v>0</v>
      </c>
      <c r="L71" s="52">
        <v>12</v>
      </c>
      <c r="M71" s="52">
        <v>0</v>
      </c>
      <c r="N71" s="52">
        <v>0</v>
      </c>
      <c r="O71" s="15" t="s">
        <v>37</v>
      </c>
      <c r="P71" s="54" t="s">
        <v>114</v>
      </c>
      <c r="Q71" s="195"/>
    </row>
    <row r="72" spans="2:17" ht="12.75" x14ac:dyDescent="0.2">
      <c r="B72" s="181"/>
      <c r="C72" s="202"/>
      <c r="D72" s="181"/>
      <c r="E72" s="181"/>
      <c r="F72" s="15">
        <v>12</v>
      </c>
      <c r="G72" s="15">
        <f t="shared" si="2"/>
        <v>0</v>
      </c>
      <c r="H72" s="15">
        <v>0</v>
      </c>
      <c r="I72" s="15">
        <v>0</v>
      </c>
      <c r="J72" s="15">
        <v>0</v>
      </c>
      <c r="K72" s="15">
        <v>0</v>
      </c>
      <c r="L72" s="15">
        <v>12</v>
      </c>
      <c r="M72" s="15">
        <v>0</v>
      </c>
      <c r="N72" s="15">
        <v>0</v>
      </c>
      <c r="O72" s="15" t="s">
        <v>37</v>
      </c>
      <c r="P72" s="16" t="s">
        <v>115</v>
      </c>
      <c r="Q72" s="181"/>
    </row>
    <row r="73" spans="2:17" ht="12.75" x14ac:dyDescent="0.2">
      <c r="B73" s="181"/>
      <c r="C73" s="202"/>
      <c r="D73" s="181"/>
      <c r="E73" s="181"/>
      <c r="F73" s="15">
        <v>12</v>
      </c>
      <c r="G73" s="15">
        <f t="shared" si="2"/>
        <v>0</v>
      </c>
      <c r="H73" s="15">
        <v>0</v>
      </c>
      <c r="I73" s="15">
        <v>0</v>
      </c>
      <c r="J73" s="15">
        <v>0</v>
      </c>
      <c r="K73" s="15">
        <v>0</v>
      </c>
      <c r="L73" s="15">
        <v>12</v>
      </c>
      <c r="M73" s="15">
        <v>0</v>
      </c>
      <c r="N73" s="15">
        <v>0</v>
      </c>
      <c r="O73" s="15" t="s">
        <v>37</v>
      </c>
      <c r="P73" s="16" t="s">
        <v>116</v>
      </c>
      <c r="Q73" s="181"/>
    </row>
    <row r="74" spans="2:17" ht="13.5" thickBot="1" x14ac:dyDescent="0.25">
      <c r="B74" s="181"/>
      <c r="C74" s="203"/>
      <c r="D74" s="205"/>
      <c r="E74" s="205"/>
      <c r="F74" s="55">
        <v>12</v>
      </c>
      <c r="G74" s="55">
        <f t="shared" si="2"/>
        <v>0</v>
      </c>
      <c r="H74" s="55">
        <v>0</v>
      </c>
      <c r="I74" s="55">
        <v>0</v>
      </c>
      <c r="J74" s="55">
        <v>0</v>
      </c>
      <c r="K74" s="55">
        <v>0</v>
      </c>
      <c r="L74" s="55">
        <v>12</v>
      </c>
      <c r="M74" s="55">
        <v>0</v>
      </c>
      <c r="N74" s="55">
        <v>0</v>
      </c>
      <c r="O74" s="18" t="s">
        <v>37</v>
      </c>
      <c r="P74" s="56" t="s">
        <v>117</v>
      </c>
      <c r="Q74" s="197"/>
    </row>
    <row r="75" spans="2:17" ht="13.5" thickTop="1" x14ac:dyDescent="0.2">
      <c r="B75" s="181"/>
      <c r="C75" s="188">
        <v>210201501</v>
      </c>
      <c r="D75" s="189">
        <v>48</v>
      </c>
      <c r="E75" s="190" t="s">
        <v>118</v>
      </c>
      <c r="F75" s="6">
        <v>12</v>
      </c>
      <c r="G75" s="15">
        <f t="shared" si="2"/>
        <v>0</v>
      </c>
      <c r="H75" s="6">
        <v>0</v>
      </c>
      <c r="I75" s="6">
        <v>0</v>
      </c>
      <c r="J75" s="6">
        <v>0</v>
      </c>
      <c r="K75" s="6">
        <v>0</v>
      </c>
      <c r="L75" s="6">
        <v>12</v>
      </c>
      <c r="M75" s="6">
        <v>0</v>
      </c>
      <c r="N75" s="6">
        <v>0</v>
      </c>
      <c r="O75" s="6" t="s">
        <v>37</v>
      </c>
      <c r="P75" s="7" t="s">
        <v>119</v>
      </c>
      <c r="Q75" s="198"/>
    </row>
    <row r="76" spans="2:17" ht="12.75" x14ac:dyDescent="0.2">
      <c r="B76" s="181"/>
      <c r="C76" s="181"/>
      <c r="D76" s="181"/>
      <c r="E76" s="181"/>
      <c r="F76" s="21">
        <v>12</v>
      </c>
      <c r="G76" s="15">
        <f t="shared" si="2"/>
        <v>0</v>
      </c>
      <c r="H76" s="21">
        <v>0</v>
      </c>
      <c r="I76" s="21">
        <v>0</v>
      </c>
      <c r="J76" s="21">
        <v>0</v>
      </c>
      <c r="K76" s="21">
        <v>0</v>
      </c>
      <c r="L76" s="21">
        <v>12</v>
      </c>
      <c r="M76" s="21">
        <v>0</v>
      </c>
      <c r="N76" s="21">
        <v>0</v>
      </c>
      <c r="O76" s="6" t="s">
        <v>37</v>
      </c>
      <c r="P76" s="7" t="s">
        <v>120</v>
      </c>
      <c r="Q76" s="181"/>
    </row>
    <row r="77" spans="2:17" ht="12.75" x14ac:dyDescent="0.2">
      <c r="B77" s="181"/>
      <c r="C77" s="181"/>
      <c r="D77" s="181"/>
      <c r="E77" s="181"/>
      <c r="F77" s="21">
        <v>12</v>
      </c>
      <c r="G77" s="15">
        <f t="shared" si="2"/>
        <v>0</v>
      </c>
      <c r="H77" s="21">
        <v>0</v>
      </c>
      <c r="I77" s="21">
        <v>0</v>
      </c>
      <c r="J77" s="21">
        <v>0</v>
      </c>
      <c r="K77" s="21">
        <v>0</v>
      </c>
      <c r="L77" s="21">
        <v>12</v>
      </c>
      <c r="M77" s="21">
        <v>0</v>
      </c>
      <c r="N77" s="21">
        <v>0</v>
      </c>
      <c r="O77" s="6" t="s">
        <v>37</v>
      </c>
      <c r="P77" s="7" t="s">
        <v>121</v>
      </c>
      <c r="Q77" s="181"/>
    </row>
    <row r="78" spans="2:17" ht="30" customHeight="1" thickBot="1" x14ac:dyDescent="0.25">
      <c r="B78" s="181"/>
      <c r="C78" s="182"/>
      <c r="D78" s="182"/>
      <c r="E78" s="182"/>
      <c r="F78" s="22">
        <v>12</v>
      </c>
      <c r="G78" s="18">
        <f t="shared" si="2"/>
        <v>0</v>
      </c>
      <c r="H78" s="22">
        <v>0</v>
      </c>
      <c r="I78" s="22">
        <v>0</v>
      </c>
      <c r="J78" s="22">
        <v>0</v>
      </c>
      <c r="K78" s="22">
        <v>0</v>
      </c>
      <c r="L78" s="22">
        <v>12</v>
      </c>
      <c r="M78" s="22">
        <v>0</v>
      </c>
      <c r="N78" s="22">
        <v>0</v>
      </c>
      <c r="O78" s="44" t="s">
        <v>37</v>
      </c>
      <c r="P78" s="163" t="s">
        <v>122</v>
      </c>
      <c r="Q78" s="197"/>
    </row>
    <row r="79" spans="2:17" ht="14.25" thickTop="1" thickBot="1" x14ac:dyDescent="0.25">
      <c r="B79" s="34"/>
      <c r="C79" s="34"/>
      <c r="D79" s="34"/>
      <c r="E79" s="57" t="s">
        <v>123</v>
      </c>
      <c r="F79" s="58">
        <f t="shared" ref="F79:N79" si="4">SUM(F32:F78)</f>
        <v>864</v>
      </c>
      <c r="G79" s="58">
        <f t="shared" si="4"/>
        <v>0</v>
      </c>
      <c r="H79" s="58">
        <f t="shared" si="4"/>
        <v>192</v>
      </c>
      <c r="I79" s="58">
        <f t="shared" si="4"/>
        <v>144</v>
      </c>
      <c r="J79" s="58">
        <f t="shared" si="4"/>
        <v>144</v>
      </c>
      <c r="K79" s="58">
        <f t="shared" si="4"/>
        <v>144</v>
      </c>
      <c r="L79" s="58">
        <f t="shared" si="4"/>
        <v>144</v>
      </c>
      <c r="M79" s="58">
        <f t="shared" si="4"/>
        <v>48</v>
      </c>
      <c r="N79" s="58">
        <f t="shared" si="4"/>
        <v>48</v>
      </c>
      <c r="O79" s="58"/>
      <c r="P79" s="58"/>
      <c r="Q79" s="58"/>
    </row>
    <row r="80" spans="2:17" ht="13.5" thickTop="1" x14ac:dyDescent="0.2">
      <c r="O80" s="1"/>
    </row>
    <row r="81" spans="2:17" ht="48" thickBot="1" x14ac:dyDescent="0.25">
      <c r="C81" s="41">
        <v>999999999</v>
      </c>
      <c r="D81" s="42">
        <v>864</v>
      </c>
      <c r="E81" s="43" t="s">
        <v>124</v>
      </c>
      <c r="F81" s="6">
        <v>864</v>
      </c>
      <c r="G81" s="15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/>
      <c r="P81" s="7" t="s">
        <v>125</v>
      </c>
      <c r="Q81" s="9"/>
    </row>
    <row r="82" spans="2:17" ht="14.25" thickTop="1" thickBot="1" x14ac:dyDescent="0.25">
      <c r="B82" s="59"/>
      <c r="C82" s="34"/>
      <c r="D82" s="34"/>
      <c r="E82" s="57" t="s">
        <v>126</v>
      </c>
      <c r="F82" s="58">
        <f>F81</f>
        <v>864</v>
      </c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</row>
    <row r="83" spans="2:17" ht="14.25" thickTop="1" thickBot="1" x14ac:dyDescent="0.25">
      <c r="O83" s="1"/>
    </row>
    <row r="84" spans="2:17" ht="28.5" customHeight="1" thickTop="1" thickBot="1" x14ac:dyDescent="0.25">
      <c r="C84" s="207" t="s">
        <v>127</v>
      </c>
      <c r="D84" s="182"/>
      <c r="E84" s="182"/>
      <c r="F84" s="60">
        <f>F82+F79+F30</f>
        <v>3936</v>
      </c>
      <c r="G84" s="60"/>
      <c r="H84" s="60">
        <f t="shared" ref="H84:N84" si="5">SUM(H3:H29,H32:H78)</f>
        <v>490</v>
      </c>
      <c r="I84" s="60">
        <f t="shared" si="5"/>
        <v>432</v>
      </c>
      <c r="J84" s="60">
        <f t="shared" si="5"/>
        <v>430</v>
      </c>
      <c r="K84" s="60">
        <f t="shared" si="5"/>
        <v>430</v>
      </c>
      <c r="L84" s="60">
        <f t="shared" si="5"/>
        <v>430</v>
      </c>
      <c r="M84" s="60">
        <f t="shared" si="5"/>
        <v>430</v>
      </c>
      <c r="N84" s="60">
        <f t="shared" si="5"/>
        <v>430</v>
      </c>
      <c r="O84" s="61"/>
    </row>
    <row r="85" spans="2:17" ht="13.5" thickTop="1" x14ac:dyDescent="0.2">
      <c r="O85" s="1"/>
    </row>
    <row r="86" spans="2:17" ht="12.75" x14ac:dyDescent="0.2">
      <c r="O86" s="1"/>
    </row>
    <row r="87" spans="2:17" ht="12.75" x14ac:dyDescent="0.2">
      <c r="H87" s="1"/>
      <c r="O87" s="1"/>
    </row>
    <row r="88" spans="2:17" ht="12.75" x14ac:dyDescent="0.2">
      <c r="H88" s="1"/>
      <c r="O88" s="1"/>
    </row>
    <row r="89" spans="2:17" ht="12.75" x14ac:dyDescent="0.2">
      <c r="H89" s="1"/>
      <c r="O89" s="1"/>
    </row>
    <row r="90" spans="2:17" ht="12.75" x14ac:dyDescent="0.2">
      <c r="H90" s="1"/>
      <c r="O90" s="1"/>
    </row>
    <row r="91" spans="2:17" ht="12.75" x14ac:dyDescent="0.2">
      <c r="H91" s="1"/>
      <c r="O91" s="1"/>
    </row>
    <row r="92" spans="2:17" ht="12.75" x14ac:dyDescent="0.2">
      <c r="H92" s="1"/>
      <c r="O92" s="1"/>
    </row>
    <row r="93" spans="2:17" ht="12.75" x14ac:dyDescent="0.2">
      <c r="H93" s="1"/>
      <c r="O93" s="1"/>
    </row>
    <row r="94" spans="2:17" ht="12.75" x14ac:dyDescent="0.2">
      <c r="H94" s="1"/>
      <c r="O94" s="1"/>
    </row>
    <row r="95" spans="2:17" ht="12.75" x14ac:dyDescent="0.2">
      <c r="H95" s="1"/>
      <c r="O95" s="1"/>
    </row>
    <row r="96" spans="2:17" ht="12.75" x14ac:dyDescent="0.2">
      <c r="H96" s="1"/>
      <c r="O96" s="1"/>
    </row>
    <row r="97" spans="8:15" ht="12.75" x14ac:dyDescent="0.2">
      <c r="H97" s="1"/>
      <c r="O97" s="1"/>
    </row>
    <row r="98" spans="8:15" ht="12.75" x14ac:dyDescent="0.2">
      <c r="H98" s="1"/>
      <c r="O98" s="1"/>
    </row>
    <row r="99" spans="8:15" ht="12.75" x14ac:dyDescent="0.2">
      <c r="H99" s="1"/>
      <c r="O99" s="1"/>
    </row>
    <row r="100" spans="8:15" ht="12.75" x14ac:dyDescent="0.2">
      <c r="H100" s="1"/>
      <c r="O100" s="1"/>
    </row>
    <row r="101" spans="8:15" ht="12.75" x14ac:dyDescent="0.2">
      <c r="H101" s="1"/>
      <c r="O101" s="1"/>
    </row>
    <row r="102" spans="8:15" ht="12.75" x14ac:dyDescent="0.2">
      <c r="H102" s="1"/>
      <c r="O102" s="1"/>
    </row>
    <row r="103" spans="8:15" ht="12.75" x14ac:dyDescent="0.2">
      <c r="H103" s="1"/>
      <c r="O103" s="1"/>
    </row>
    <row r="104" spans="8:15" ht="12.75" x14ac:dyDescent="0.2">
      <c r="H104" s="1"/>
      <c r="O104" s="1"/>
    </row>
    <row r="105" spans="8:15" ht="12.75" x14ac:dyDescent="0.2">
      <c r="H105" s="1"/>
      <c r="O105" s="1"/>
    </row>
    <row r="106" spans="8:15" ht="12.75" x14ac:dyDescent="0.2">
      <c r="H106" s="1"/>
      <c r="O106" s="1"/>
    </row>
    <row r="107" spans="8:15" ht="12.75" x14ac:dyDescent="0.2">
      <c r="H107" s="1"/>
      <c r="O107" s="1"/>
    </row>
    <row r="108" spans="8:15" ht="12.75" x14ac:dyDescent="0.2">
      <c r="H108" s="1"/>
      <c r="O108" s="1"/>
    </row>
    <row r="109" spans="8:15" ht="12.75" x14ac:dyDescent="0.2">
      <c r="H109" s="1"/>
      <c r="O109" s="1"/>
    </row>
    <row r="110" spans="8:15" ht="12.75" x14ac:dyDescent="0.2">
      <c r="H110" s="1"/>
      <c r="O110" s="1"/>
    </row>
    <row r="111" spans="8:15" ht="12.75" x14ac:dyDescent="0.2">
      <c r="H111" s="1"/>
      <c r="O111" s="1"/>
    </row>
    <row r="112" spans="8:15" ht="12.75" x14ac:dyDescent="0.2">
      <c r="H112" s="1"/>
      <c r="O112" s="1"/>
    </row>
    <row r="113" spans="8:15" ht="12.75" x14ac:dyDescent="0.2">
      <c r="H113" s="1"/>
      <c r="O113" s="1"/>
    </row>
    <row r="114" spans="8:15" ht="12.75" x14ac:dyDescent="0.2">
      <c r="H114" s="1"/>
      <c r="O114" s="1"/>
    </row>
    <row r="115" spans="8:15" ht="12.75" x14ac:dyDescent="0.2">
      <c r="H115" s="1"/>
      <c r="O115" s="1"/>
    </row>
    <row r="116" spans="8:15" ht="12.75" x14ac:dyDescent="0.2">
      <c r="H116" s="1"/>
      <c r="O116" s="1"/>
    </row>
    <row r="117" spans="8:15" ht="12.75" x14ac:dyDescent="0.2">
      <c r="H117" s="1"/>
      <c r="O117" s="1"/>
    </row>
    <row r="118" spans="8:15" ht="12.75" x14ac:dyDescent="0.2">
      <c r="H118" s="1"/>
      <c r="O118" s="1"/>
    </row>
    <row r="119" spans="8:15" ht="12.75" x14ac:dyDescent="0.2">
      <c r="H119" s="1"/>
      <c r="O119" s="1"/>
    </row>
    <row r="120" spans="8:15" ht="12.75" x14ac:dyDescent="0.2">
      <c r="H120" s="1"/>
      <c r="O120" s="1"/>
    </row>
    <row r="121" spans="8:15" ht="12.75" x14ac:dyDescent="0.2">
      <c r="H121" s="1"/>
      <c r="O121" s="1"/>
    </row>
    <row r="122" spans="8:15" ht="12.75" x14ac:dyDescent="0.2">
      <c r="H122" s="1"/>
      <c r="O122" s="1"/>
    </row>
    <row r="123" spans="8:15" ht="12.75" x14ac:dyDescent="0.2">
      <c r="H123" s="1"/>
      <c r="O123" s="1"/>
    </row>
    <row r="124" spans="8:15" ht="12.75" x14ac:dyDescent="0.2">
      <c r="H124" s="1"/>
      <c r="O124" s="1"/>
    </row>
    <row r="125" spans="8:15" ht="12.75" x14ac:dyDescent="0.2">
      <c r="H125" s="1"/>
      <c r="O125" s="1"/>
    </row>
    <row r="126" spans="8:15" ht="12.75" x14ac:dyDescent="0.2">
      <c r="H126" s="1"/>
      <c r="O126" s="1"/>
    </row>
    <row r="127" spans="8:15" ht="12.75" x14ac:dyDescent="0.2">
      <c r="H127" s="1"/>
      <c r="O127" s="1"/>
    </row>
    <row r="128" spans="8:15" ht="12.75" x14ac:dyDescent="0.2">
      <c r="H128" s="1"/>
      <c r="O128" s="1"/>
    </row>
    <row r="129" spans="8:15" ht="12.75" x14ac:dyDescent="0.2">
      <c r="H129" s="1"/>
      <c r="O129" s="1"/>
    </row>
    <row r="130" spans="8:15" ht="12.75" x14ac:dyDescent="0.2">
      <c r="H130" s="1"/>
      <c r="O130" s="1"/>
    </row>
    <row r="131" spans="8:15" ht="12.75" x14ac:dyDescent="0.2">
      <c r="H131" s="1"/>
      <c r="O131" s="1"/>
    </row>
    <row r="132" spans="8:15" ht="12.75" x14ac:dyDescent="0.2">
      <c r="H132" s="1"/>
      <c r="O132" s="1"/>
    </row>
    <row r="133" spans="8:15" ht="12.75" x14ac:dyDescent="0.2">
      <c r="H133" s="1"/>
      <c r="O133" s="1"/>
    </row>
    <row r="134" spans="8:15" ht="12.75" x14ac:dyDescent="0.2">
      <c r="H134" s="1"/>
      <c r="O134" s="1"/>
    </row>
    <row r="135" spans="8:15" ht="12.75" x14ac:dyDescent="0.2">
      <c r="H135" s="1"/>
      <c r="O135" s="1"/>
    </row>
    <row r="136" spans="8:15" ht="12.75" x14ac:dyDescent="0.2">
      <c r="H136" s="1"/>
      <c r="O136" s="1"/>
    </row>
    <row r="137" spans="8:15" ht="12.75" x14ac:dyDescent="0.2">
      <c r="H137" s="1"/>
      <c r="O137" s="1"/>
    </row>
    <row r="138" spans="8:15" ht="12.75" x14ac:dyDescent="0.2">
      <c r="H138" s="1"/>
      <c r="O138" s="1"/>
    </row>
    <row r="139" spans="8:15" ht="12.75" x14ac:dyDescent="0.2">
      <c r="H139" s="1"/>
      <c r="O139" s="1"/>
    </row>
    <row r="140" spans="8:15" ht="12.75" x14ac:dyDescent="0.2">
      <c r="H140" s="1"/>
      <c r="O140" s="1"/>
    </row>
    <row r="141" spans="8:15" ht="12.75" x14ac:dyDescent="0.2">
      <c r="H141" s="1"/>
      <c r="O141" s="1"/>
    </row>
    <row r="142" spans="8:15" ht="12.75" x14ac:dyDescent="0.2">
      <c r="H142" s="1"/>
      <c r="O142" s="1"/>
    </row>
    <row r="143" spans="8:15" ht="12.75" x14ac:dyDescent="0.2">
      <c r="H143" s="1"/>
      <c r="O143" s="1"/>
    </row>
    <row r="144" spans="8:15" ht="12.75" x14ac:dyDescent="0.2">
      <c r="H144" s="1"/>
      <c r="O144" s="1"/>
    </row>
    <row r="145" spans="8:15" ht="12.75" x14ac:dyDescent="0.2">
      <c r="H145" s="1"/>
      <c r="O145" s="1"/>
    </row>
    <row r="146" spans="8:15" ht="12.75" x14ac:dyDescent="0.2">
      <c r="H146" s="1"/>
      <c r="O146" s="1"/>
    </row>
    <row r="147" spans="8:15" ht="12.75" x14ac:dyDescent="0.2">
      <c r="H147" s="1"/>
      <c r="O147" s="1"/>
    </row>
    <row r="148" spans="8:15" ht="12.75" x14ac:dyDescent="0.2">
      <c r="H148" s="1"/>
      <c r="O148" s="1"/>
    </row>
    <row r="149" spans="8:15" ht="12.75" x14ac:dyDescent="0.2">
      <c r="H149" s="1"/>
      <c r="O149" s="1"/>
    </row>
    <row r="150" spans="8:15" ht="12.75" x14ac:dyDescent="0.2">
      <c r="H150" s="1"/>
      <c r="O150" s="1"/>
    </row>
    <row r="151" spans="8:15" ht="12.75" x14ac:dyDescent="0.2">
      <c r="H151" s="1"/>
      <c r="O151" s="1"/>
    </row>
    <row r="152" spans="8:15" ht="12.75" x14ac:dyDescent="0.2">
      <c r="H152" s="1"/>
      <c r="O152" s="1"/>
    </row>
    <row r="153" spans="8:15" ht="12.75" x14ac:dyDescent="0.2">
      <c r="H153" s="1"/>
      <c r="O153" s="1"/>
    </row>
    <row r="154" spans="8:15" ht="12.75" x14ac:dyDescent="0.2">
      <c r="H154" s="1"/>
      <c r="O154" s="1"/>
    </row>
    <row r="155" spans="8:15" ht="12.75" x14ac:dyDescent="0.2">
      <c r="H155" s="1"/>
      <c r="O155" s="1"/>
    </row>
    <row r="156" spans="8:15" ht="12.75" x14ac:dyDescent="0.2">
      <c r="H156" s="1"/>
      <c r="O156" s="1"/>
    </row>
    <row r="157" spans="8:15" ht="12.75" x14ac:dyDescent="0.2">
      <c r="H157" s="1"/>
      <c r="O157" s="1"/>
    </row>
    <row r="158" spans="8:15" ht="12.75" x14ac:dyDescent="0.2">
      <c r="H158" s="1"/>
      <c r="O158" s="1"/>
    </row>
    <row r="159" spans="8:15" ht="12.75" x14ac:dyDescent="0.2">
      <c r="H159" s="1"/>
      <c r="O159" s="1"/>
    </row>
    <row r="160" spans="8:15" ht="12.75" x14ac:dyDescent="0.2">
      <c r="H160" s="1"/>
      <c r="O160" s="1"/>
    </row>
    <row r="161" spans="8:15" ht="12.75" x14ac:dyDescent="0.2">
      <c r="H161" s="1"/>
      <c r="O161" s="1"/>
    </row>
    <row r="162" spans="8:15" ht="12.75" x14ac:dyDescent="0.2">
      <c r="H162" s="1"/>
      <c r="O162" s="1"/>
    </row>
    <row r="163" spans="8:15" ht="12.75" x14ac:dyDescent="0.2">
      <c r="H163" s="1"/>
      <c r="O163" s="1"/>
    </row>
    <row r="164" spans="8:15" ht="12.75" x14ac:dyDescent="0.2">
      <c r="H164" s="1"/>
      <c r="O164" s="1"/>
    </row>
    <row r="165" spans="8:15" ht="12.75" x14ac:dyDescent="0.2">
      <c r="H165" s="1"/>
      <c r="O165" s="1"/>
    </row>
    <row r="166" spans="8:15" ht="12.75" x14ac:dyDescent="0.2">
      <c r="H166" s="1"/>
      <c r="O166" s="1"/>
    </row>
    <row r="167" spans="8:15" ht="12.75" x14ac:dyDescent="0.2">
      <c r="H167" s="1"/>
      <c r="O167" s="1"/>
    </row>
    <row r="168" spans="8:15" ht="12.75" x14ac:dyDescent="0.2">
      <c r="H168" s="1"/>
      <c r="O168" s="1"/>
    </row>
    <row r="169" spans="8:15" ht="12.75" x14ac:dyDescent="0.2">
      <c r="H169" s="1"/>
      <c r="O169" s="1"/>
    </row>
    <row r="170" spans="8:15" ht="12.75" x14ac:dyDescent="0.2">
      <c r="H170" s="1"/>
      <c r="O170" s="1"/>
    </row>
    <row r="171" spans="8:15" ht="12.75" x14ac:dyDescent="0.2">
      <c r="H171" s="1"/>
      <c r="O171" s="1"/>
    </row>
    <row r="172" spans="8:15" ht="12.75" x14ac:dyDescent="0.2">
      <c r="H172" s="1"/>
      <c r="O172" s="1"/>
    </row>
    <row r="173" spans="8:15" ht="12.75" x14ac:dyDescent="0.2">
      <c r="H173" s="1"/>
      <c r="O173" s="1"/>
    </row>
    <row r="174" spans="8:15" ht="12.75" x14ac:dyDescent="0.2">
      <c r="H174" s="1"/>
      <c r="O174" s="1"/>
    </row>
    <row r="175" spans="8:15" ht="12.75" x14ac:dyDescent="0.2">
      <c r="H175" s="1"/>
      <c r="O175" s="1"/>
    </row>
    <row r="176" spans="8:15" ht="12.75" x14ac:dyDescent="0.2">
      <c r="H176" s="1"/>
      <c r="O176" s="1"/>
    </row>
    <row r="177" spans="8:15" ht="12.75" x14ac:dyDescent="0.2">
      <c r="H177" s="1"/>
      <c r="O177" s="1"/>
    </row>
    <row r="178" spans="8:15" ht="12.75" x14ac:dyDescent="0.2">
      <c r="H178" s="1"/>
      <c r="O178" s="1"/>
    </row>
    <row r="179" spans="8:15" ht="12.75" x14ac:dyDescent="0.2">
      <c r="H179" s="1"/>
      <c r="O179" s="1"/>
    </row>
    <row r="180" spans="8:15" ht="12.75" x14ac:dyDescent="0.2">
      <c r="H180" s="1"/>
      <c r="O180" s="1"/>
    </row>
    <row r="181" spans="8:15" ht="12.75" x14ac:dyDescent="0.2">
      <c r="H181" s="1"/>
      <c r="O181" s="1"/>
    </row>
    <row r="182" spans="8:15" ht="12.75" x14ac:dyDescent="0.2">
      <c r="H182" s="1"/>
      <c r="O182" s="1"/>
    </row>
    <row r="183" spans="8:15" ht="12.75" x14ac:dyDescent="0.2">
      <c r="H183" s="1"/>
      <c r="O183" s="1"/>
    </row>
    <row r="184" spans="8:15" ht="12.75" x14ac:dyDescent="0.2">
      <c r="H184" s="1"/>
      <c r="O184" s="1"/>
    </row>
    <row r="185" spans="8:15" ht="12.75" x14ac:dyDescent="0.2">
      <c r="H185" s="1"/>
      <c r="O185" s="1"/>
    </row>
    <row r="186" spans="8:15" ht="12.75" x14ac:dyDescent="0.2">
      <c r="H186" s="1"/>
      <c r="O186" s="1"/>
    </row>
    <row r="187" spans="8:15" ht="12.75" x14ac:dyDescent="0.2">
      <c r="H187" s="1"/>
      <c r="O187" s="1"/>
    </row>
    <row r="188" spans="8:15" ht="12.75" x14ac:dyDescent="0.2">
      <c r="H188" s="1"/>
      <c r="O188" s="1"/>
    </row>
    <row r="189" spans="8:15" ht="12.75" x14ac:dyDescent="0.2">
      <c r="H189" s="1"/>
      <c r="O189" s="1"/>
    </row>
    <row r="190" spans="8:15" ht="12.75" x14ac:dyDescent="0.2">
      <c r="H190" s="1"/>
      <c r="O190" s="1"/>
    </row>
    <row r="191" spans="8:15" ht="12.75" x14ac:dyDescent="0.2">
      <c r="H191" s="1"/>
      <c r="O191" s="1"/>
    </row>
    <row r="192" spans="8:15" ht="12.75" x14ac:dyDescent="0.2">
      <c r="H192" s="1"/>
      <c r="O192" s="1"/>
    </row>
    <row r="193" spans="8:15" ht="12.75" x14ac:dyDescent="0.2">
      <c r="H193" s="1"/>
      <c r="O193" s="1"/>
    </row>
    <row r="194" spans="8:15" ht="12.75" x14ac:dyDescent="0.2">
      <c r="H194" s="1"/>
      <c r="O194" s="1"/>
    </row>
    <row r="195" spans="8:15" ht="12.75" x14ac:dyDescent="0.2">
      <c r="H195" s="1"/>
      <c r="O195" s="1"/>
    </row>
    <row r="196" spans="8:15" ht="12.75" x14ac:dyDescent="0.2">
      <c r="H196" s="1"/>
      <c r="O196" s="1"/>
    </row>
    <row r="197" spans="8:15" ht="12.75" x14ac:dyDescent="0.2">
      <c r="H197" s="1"/>
      <c r="O197" s="1"/>
    </row>
    <row r="198" spans="8:15" ht="12.75" x14ac:dyDescent="0.2">
      <c r="H198" s="1"/>
      <c r="O198" s="1"/>
    </row>
    <row r="199" spans="8:15" ht="12.75" x14ac:dyDescent="0.2">
      <c r="H199" s="1"/>
      <c r="O199" s="1"/>
    </row>
    <row r="200" spans="8:15" ht="12.75" x14ac:dyDescent="0.2">
      <c r="H200" s="1"/>
      <c r="O200" s="1"/>
    </row>
    <row r="201" spans="8:15" ht="12.75" x14ac:dyDescent="0.2">
      <c r="H201" s="1"/>
      <c r="O201" s="1"/>
    </row>
    <row r="202" spans="8:15" ht="12.75" x14ac:dyDescent="0.2">
      <c r="H202" s="1"/>
      <c r="O202" s="1"/>
    </row>
    <row r="203" spans="8:15" ht="12.75" x14ac:dyDescent="0.2">
      <c r="H203" s="1"/>
      <c r="O203" s="1"/>
    </row>
    <row r="204" spans="8:15" ht="12.75" x14ac:dyDescent="0.2">
      <c r="H204" s="1"/>
      <c r="O204" s="1"/>
    </row>
    <row r="205" spans="8:15" ht="12.75" x14ac:dyDescent="0.2">
      <c r="H205" s="1"/>
      <c r="O205" s="1"/>
    </row>
    <row r="206" spans="8:15" ht="12.75" x14ac:dyDescent="0.2">
      <c r="H206" s="1"/>
      <c r="O206" s="1"/>
    </row>
    <row r="207" spans="8:15" ht="12.75" x14ac:dyDescent="0.2">
      <c r="H207" s="1"/>
      <c r="O207" s="1"/>
    </row>
    <row r="208" spans="8:15" ht="12.75" x14ac:dyDescent="0.2">
      <c r="H208" s="1"/>
      <c r="O208" s="1"/>
    </row>
    <row r="209" spans="8:15" ht="12.75" x14ac:dyDescent="0.2">
      <c r="H209" s="1"/>
      <c r="O209" s="1"/>
    </row>
    <row r="210" spans="8:15" ht="12.75" x14ac:dyDescent="0.2">
      <c r="H210" s="1"/>
      <c r="O210" s="1"/>
    </row>
    <row r="211" spans="8:15" ht="12.75" x14ac:dyDescent="0.2">
      <c r="H211" s="1"/>
      <c r="O211" s="1"/>
    </row>
    <row r="212" spans="8:15" ht="12.75" x14ac:dyDescent="0.2">
      <c r="H212" s="1"/>
      <c r="O212" s="1"/>
    </row>
    <row r="213" spans="8:15" ht="12.75" x14ac:dyDescent="0.2">
      <c r="H213" s="1"/>
      <c r="O213" s="1"/>
    </row>
    <row r="214" spans="8:15" ht="12.75" x14ac:dyDescent="0.2">
      <c r="H214" s="1"/>
      <c r="O214" s="1"/>
    </row>
    <row r="215" spans="8:15" ht="12.75" x14ac:dyDescent="0.2">
      <c r="H215" s="1"/>
      <c r="O215" s="1"/>
    </row>
    <row r="216" spans="8:15" ht="12.75" x14ac:dyDescent="0.2">
      <c r="H216" s="1"/>
      <c r="O216" s="1"/>
    </row>
    <row r="217" spans="8:15" ht="12.75" x14ac:dyDescent="0.2">
      <c r="H217" s="1"/>
      <c r="O217" s="1"/>
    </row>
    <row r="218" spans="8:15" ht="12.75" x14ac:dyDescent="0.2">
      <c r="H218" s="1"/>
      <c r="O218" s="1"/>
    </row>
    <row r="219" spans="8:15" ht="12.75" x14ac:dyDescent="0.2">
      <c r="H219" s="1"/>
      <c r="O219" s="1"/>
    </row>
    <row r="220" spans="8:15" ht="12.75" x14ac:dyDescent="0.2">
      <c r="H220" s="1"/>
      <c r="O220" s="1"/>
    </row>
    <row r="221" spans="8:15" ht="12.75" x14ac:dyDescent="0.2">
      <c r="H221" s="1"/>
      <c r="O221" s="1"/>
    </row>
    <row r="222" spans="8:15" ht="12.75" x14ac:dyDescent="0.2">
      <c r="H222" s="1"/>
      <c r="O222" s="1"/>
    </row>
    <row r="223" spans="8:15" ht="12.75" x14ac:dyDescent="0.2">
      <c r="H223" s="1"/>
      <c r="O223" s="1"/>
    </row>
    <row r="224" spans="8:15" ht="12.75" x14ac:dyDescent="0.2">
      <c r="H224" s="1"/>
      <c r="O224" s="1"/>
    </row>
    <row r="225" spans="8:15" ht="12.75" x14ac:dyDescent="0.2">
      <c r="H225" s="1"/>
      <c r="O225" s="1"/>
    </row>
    <row r="226" spans="8:15" ht="12.75" x14ac:dyDescent="0.2">
      <c r="H226" s="1"/>
      <c r="O226" s="1"/>
    </row>
    <row r="227" spans="8:15" ht="12.75" x14ac:dyDescent="0.2">
      <c r="H227" s="1"/>
      <c r="O227" s="1"/>
    </row>
    <row r="228" spans="8:15" ht="12.75" x14ac:dyDescent="0.2">
      <c r="H228" s="1"/>
      <c r="O228" s="1"/>
    </row>
    <row r="229" spans="8:15" ht="12.75" x14ac:dyDescent="0.2">
      <c r="H229" s="1"/>
      <c r="O229" s="1"/>
    </row>
    <row r="230" spans="8:15" ht="12.75" x14ac:dyDescent="0.2">
      <c r="H230" s="1"/>
      <c r="O230" s="1"/>
    </row>
    <row r="231" spans="8:15" ht="12.75" x14ac:dyDescent="0.2">
      <c r="H231" s="1"/>
      <c r="O231" s="1"/>
    </row>
    <row r="232" spans="8:15" ht="12.75" x14ac:dyDescent="0.2">
      <c r="H232" s="1"/>
      <c r="O232" s="1"/>
    </row>
    <row r="233" spans="8:15" ht="12.75" x14ac:dyDescent="0.2">
      <c r="H233" s="1"/>
      <c r="O233" s="1"/>
    </row>
    <row r="234" spans="8:15" ht="12.75" x14ac:dyDescent="0.2">
      <c r="H234" s="1"/>
      <c r="O234" s="1"/>
    </row>
    <row r="235" spans="8:15" ht="12.75" x14ac:dyDescent="0.2">
      <c r="H235" s="1"/>
      <c r="O235" s="1"/>
    </row>
    <row r="236" spans="8:15" ht="12.75" x14ac:dyDescent="0.2">
      <c r="H236" s="1"/>
      <c r="O236" s="1"/>
    </row>
    <row r="237" spans="8:15" ht="12.75" x14ac:dyDescent="0.2">
      <c r="H237" s="1"/>
      <c r="O237" s="1"/>
    </row>
    <row r="238" spans="8:15" ht="12.75" x14ac:dyDescent="0.2">
      <c r="H238" s="1"/>
      <c r="O238" s="1"/>
    </row>
    <row r="239" spans="8:15" ht="12.75" x14ac:dyDescent="0.2">
      <c r="H239" s="1"/>
      <c r="O239" s="1"/>
    </row>
    <row r="240" spans="8:15" ht="12.75" x14ac:dyDescent="0.2">
      <c r="H240" s="1"/>
      <c r="O240" s="1"/>
    </row>
    <row r="241" spans="8:15" ht="12.75" x14ac:dyDescent="0.2">
      <c r="H241" s="1"/>
      <c r="O241" s="1"/>
    </row>
    <row r="242" spans="8:15" ht="12.75" x14ac:dyDescent="0.2">
      <c r="H242" s="1"/>
      <c r="O242" s="1"/>
    </row>
    <row r="243" spans="8:15" ht="12.75" x14ac:dyDescent="0.2">
      <c r="H243" s="1"/>
      <c r="O243" s="1"/>
    </row>
    <row r="244" spans="8:15" ht="12.75" x14ac:dyDescent="0.2">
      <c r="H244" s="1"/>
      <c r="O244" s="1"/>
    </row>
    <row r="245" spans="8:15" ht="12.75" x14ac:dyDescent="0.2">
      <c r="H245" s="1"/>
      <c r="O245" s="1"/>
    </row>
    <row r="246" spans="8:15" ht="12.75" x14ac:dyDescent="0.2">
      <c r="H246" s="1"/>
      <c r="O246" s="1"/>
    </row>
    <row r="247" spans="8:15" ht="12.75" x14ac:dyDescent="0.2">
      <c r="H247" s="1"/>
      <c r="O247" s="1"/>
    </row>
    <row r="248" spans="8:15" ht="12.75" x14ac:dyDescent="0.2">
      <c r="H248" s="1"/>
      <c r="O248" s="1"/>
    </row>
    <row r="249" spans="8:15" ht="12.75" x14ac:dyDescent="0.2">
      <c r="H249" s="1"/>
      <c r="O249" s="1"/>
    </row>
    <row r="250" spans="8:15" ht="12.75" x14ac:dyDescent="0.2">
      <c r="H250" s="1"/>
      <c r="O250" s="1"/>
    </row>
    <row r="251" spans="8:15" ht="12.75" x14ac:dyDescent="0.2">
      <c r="H251" s="1"/>
      <c r="O251" s="1"/>
    </row>
    <row r="252" spans="8:15" ht="12.75" x14ac:dyDescent="0.2">
      <c r="H252" s="1"/>
      <c r="O252" s="1"/>
    </row>
    <row r="253" spans="8:15" ht="12.75" x14ac:dyDescent="0.2">
      <c r="H253" s="1"/>
      <c r="O253" s="1"/>
    </row>
    <row r="254" spans="8:15" ht="12.75" x14ac:dyDescent="0.2">
      <c r="H254" s="1"/>
      <c r="O254" s="1"/>
    </row>
    <row r="255" spans="8:15" ht="12.75" x14ac:dyDescent="0.2">
      <c r="H255" s="1"/>
      <c r="O255" s="1"/>
    </row>
    <row r="256" spans="8:15" ht="12.75" x14ac:dyDescent="0.2">
      <c r="H256" s="1"/>
      <c r="O256" s="1"/>
    </row>
    <row r="257" spans="8:15" ht="12.75" x14ac:dyDescent="0.2">
      <c r="H257" s="1"/>
      <c r="O257" s="1"/>
    </row>
    <row r="258" spans="8:15" ht="12.75" x14ac:dyDescent="0.2">
      <c r="H258" s="1"/>
      <c r="O258" s="1"/>
    </row>
    <row r="259" spans="8:15" ht="12.75" x14ac:dyDescent="0.2">
      <c r="H259" s="1"/>
      <c r="O259" s="1"/>
    </row>
    <row r="260" spans="8:15" ht="12.75" x14ac:dyDescent="0.2">
      <c r="H260" s="1"/>
      <c r="O260" s="1"/>
    </row>
    <row r="261" spans="8:15" ht="12.75" x14ac:dyDescent="0.2">
      <c r="H261" s="1"/>
      <c r="O261" s="1"/>
    </row>
    <row r="262" spans="8:15" ht="12.75" x14ac:dyDescent="0.2">
      <c r="H262" s="1"/>
      <c r="O262" s="1"/>
    </row>
    <row r="263" spans="8:15" ht="12.75" x14ac:dyDescent="0.2">
      <c r="H263" s="1"/>
      <c r="O263" s="1"/>
    </row>
    <row r="264" spans="8:15" ht="12.75" x14ac:dyDescent="0.2">
      <c r="H264" s="1"/>
      <c r="O264" s="1"/>
    </row>
    <row r="265" spans="8:15" ht="12.75" x14ac:dyDescent="0.2">
      <c r="H265" s="1"/>
      <c r="O265" s="1"/>
    </row>
    <row r="266" spans="8:15" ht="12.75" x14ac:dyDescent="0.2">
      <c r="H266" s="1"/>
      <c r="O266" s="1"/>
    </row>
    <row r="267" spans="8:15" ht="12.75" x14ac:dyDescent="0.2">
      <c r="H267" s="1"/>
      <c r="O267" s="1"/>
    </row>
    <row r="268" spans="8:15" ht="12.75" x14ac:dyDescent="0.2">
      <c r="H268" s="1"/>
      <c r="O268" s="1"/>
    </row>
    <row r="269" spans="8:15" ht="12.75" x14ac:dyDescent="0.2">
      <c r="H269" s="1"/>
      <c r="O269" s="1"/>
    </row>
    <row r="270" spans="8:15" ht="12.75" x14ac:dyDescent="0.2">
      <c r="H270" s="1"/>
      <c r="O270" s="1"/>
    </row>
    <row r="271" spans="8:15" ht="12.75" x14ac:dyDescent="0.2">
      <c r="H271" s="1"/>
      <c r="O271" s="1"/>
    </row>
    <row r="272" spans="8:15" ht="12.75" x14ac:dyDescent="0.2">
      <c r="H272" s="1"/>
      <c r="O272" s="1"/>
    </row>
    <row r="273" spans="8:15" ht="12.75" x14ac:dyDescent="0.2">
      <c r="H273" s="1"/>
      <c r="O273" s="1"/>
    </row>
    <row r="274" spans="8:15" ht="12.75" x14ac:dyDescent="0.2">
      <c r="H274" s="1"/>
      <c r="O274" s="1"/>
    </row>
    <row r="275" spans="8:15" ht="12.75" x14ac:dyDescent="0.2">
      <c r="H275" s="1"/>
      <c r="O275" s="1"/>
    </row>
    <row r="276" spans="8:15" ht="12.75" x14ac:dyDescent="0.2">
      <c r="H276" s="1"/>
      <c r="O276" s="1"/>
    </row>
    <row r="277" spans="8:15" ht="12.75" x14ac:dyDescent="0.2">
      <c r="H277" s="1"/>
      <c r="O277" s="1"/>
    </row>
    <row r="278" spans="8:15" ht="12.75" x14ac:dyDescent="0.2">
      <c r="H278" s="1"/>
      <c r="O278" s="1"/>
    </row>
    <row r="279" spans="8:15" ht="12.75" x14ac:dyDescent="0.2">
      <c r="H279" s="1"/>
      <c r="O279" s="1"/>
    </row>
    <row r="280" spans="8:15" ht="12.75" x14ac:dyDescent="0.2">
      <c r="H280" s="1"/>
      <c r="O280" s="1"/>
    </row>
    <row r="281" spans="8:15" ht="12.75" x14ac:dyDescent="0.2">
      <c r="H281" s="1"/>
      <c r="O281" s="1"/>
    </row>
    <row r="282" spans="8:15" ht="12.75" x14ac:dyDescent="0.2">
      <c r="H282" s="1"/>
      <c r="O282" s="1"/>
    </row>
    <row r="283" spans="8:15" ht="12.75" x14ac:dyDescent="0.2">
      <c r="H283" s="1"/>
      <c r="O283" s="1"/>
    </row>
    <row r="284" spans="8:15" ht="12.75" x14ac:dyDescent="0.2">
      <c r="H284" s="1"/>
      <c r="O284" s="1"/>
    </row>
    <row r="285" spans="8:15" ht="12.75" x14ac:dyDescent="0.2">
      <c r="H285" s="1"/>
      <c r="O285" s="1"/>
    </row>
    <row r="286" spans="8:15" ht="12.75" x14ac:dyDescent="0.2">
      <c r="H286" s="1"/>
      <c r="O286" s="1"/>
    </row>
    <row r="287" spans="8:15" ht="12.75" x14ac:dyDescent="0.2">
      <c r="H287" s="1"/>
      <c r="O287" s="1"/>
    </row>
    <row r="288" spans="8:15" ht="12.75" x14ac:dyDescent="0.2">
      <c r="H288" s="1"/>
      <c r="O288" s="1"/>
    </row>
    <row r="289" spans="8:15" ht="12.75" x14ac:dyDescent="0.2">
      <c r="H289" s="1"/>
      <c r="O289" s="1"/>
    </row>
    <row r="290" spans="8:15" ht="12.75" x14ac:dyDescent="0.2">
      <c r="H290" s="1"/>
      <c r="O290" s="1"/>
    </row>
    <row r="291" spans="8:15" ht="12.75" x14ac:dyDescent="0.2">
      <c r="H291" s="1"/>
      <c r="O291" s="1"/>
    </row>
    <row r="292" spans="8:15" ht="12.75" x14ac:dyDescent="0.2">
      <c r="H292" s="1"/>
      <c r="O292" s="1"/>
    </row>
    <row r="293" spans="8:15" ht="12.75" x14ac:dyDescent="0.2">
      <c r="H293" s="1"/>
      <c r="O293" s="1"/>
    </row>
    <row r="294" spans="8:15" ht="12.75" x14ac:dyDescent="0.2">
      <c r="H294" s="1"/>
      <c r="O294" s="1"/>
    </row>
    <row r="295" spans="8:15" ht="12.75" x14ac:dyDescent="0.2">
      <c r="H295" s="1"/>
      <c r="O295" s="1"/>
    </row>
    <row r="296" spans="8:15" ht="12.75" x14ac:dyDescent="0.2">
      <c r="H296" s="1"/>
      <c r="O296" s="1"/>
    </row>
    <row r="297" spans="8:15" ht="12.75" x14ac:dyDescent="0.2">
      <c r="H297" s="1"/>
      <c r="O297" s="1"/>
    </row>
    <row r="298" spans="8:15" ht="12.75" x14ac:dyDescent="0.2">
      <c r="H298" s="1"/>
      <c r="O298" s="1"/>
    </row>
    <row r="299" spans="8:15" ht="12.75" x14ac:dyDescent="0.2">
      <c r="H299" s="1"/>
      <c r="O299" s="1"/>
    </row>
    <row r="300" spans="8:15" ht="12.75" x14ac:dyDescent="0.2">
      <c r="H300" s="1"/>
      <c r="O300" s="1"/>
    </row>
    <row r="301" spans="8:15" ht="12.75" x14ac:dyDescent="0.2">
      <c r="H301" s="1"/>
      <c r="O301" s="1"/>
    </row>
    <row r="302" spans="8:15" ht="12.75" x14ac:dyDescent="0.2">
      <c r="H302" s="1"/>
      <c r="O302" s="1"/>
    </row>
    <row r="303" spans="8:15" ht="12.75" x14ac:dyDescent="0.2">
      <c r="H303" s="1"/>
      <c r="O303" s="1"/>
    </row>
    <row r="304" spans="8:15" ht="12.75" x14ac:dyDescent="0.2">
      <c r="H304" s="1"/>
      <c r="O304" s="1"/>
    </row>
    <row r="305" spans="8:15" ht="12.75" x14ac:dyDescent="0.2">
      <c r="H305" s="1"/>
      <c r="O305" s="1"/>
    </row>
    <row r="306" spans="8:15" ht="12.75" x14ac:dyDescent="0.2">
      <c r="H306" s="1"/>
      <c r="O306" s="1"/>
    </row>
    <row r="307" spans="8:15" ht="12.75" x14ac:dyDescent="0.2">
      <c r="H307" s="1"/>
      <c r="O307" s="1"/>
    </row>
    <row r="308" spans="8:15" ht="12.75" x14ac:dyDescent="0.2">
      <c r="H308" s="1"/>
      <c r="O308" s="1"/>
    </row>
    <row r="309" spans="8:15" ht="12.75" x14ac:dyDescent="0.2">
      <c r="H309" s="1"/>
      <c r="O309" s="1"/>
    </row>
    <row r="310" spans="8:15" ht="12.75" x14ac:dyDescent="0.2">
      <c r="H310" s="1"/>
      <c r="O310" s="1"/>
    </row>
    <row r="311" spans="8:15" ht="12.75" x14ac:dyDescent="0.2">
      <c r="H311" s="1"/>
      <c r="O311" s="1"/>
    </row>
    <row r="312" spans="8:15" ht="12.75" x14ac:dyDescent="0.2">
      <c r="H312" s="1"/>
      <c r="O312" s="1"/>
    </row>
    <row r="313" spans="8:15" ht="12.75" x14ac:dyDescent="0.2">
      <c r="H313" s="1"/>
      <c r="O313" s="1"/>
    </row>
    <row r="314" spans="8:15" ht="12.75" x14ac:dyDescent="0.2">
      <c r="H314" s="1"/>
      <c r="O314" s="1"/>
    </row>
    <row r="315" spans="8:15" ht="12.75" x14ac:dyDescent="0.2">
      <c r="H315" s="1"/>
      <c r="O315" s="1"/>
    </row>
    <row r="316" spans="8:15" ht="12.75" x14ac:dyDescent="0.2">
      <c r="H316" s="1"/>
      <c r="O316" s="1"/>
    </row>
    <row r="317" spans="8:15" ht="12.75" x14ac:dyDescent="0.2">
      <c r="H317" s="1"/>
      <c r="O317" s="1"/>
    </row>
    <row r="318" spans="8:15" ht="12.75" x14ac:dyDescent="0.2">
      <c r="H318" s="1"/>
      <c r="O318" s="1"/>
    </row>
    <row r="319" spans="8:15" ht="12.75" x14ac:dyDescent="0.2">
      <c r="H319" s="1"/>
      <c r="O319" s="1"/>
    </row>
    <row r="320" spans="8:15" ht="12.75" x14ac:dyDescent="0.2">
      <c r="H320" s="1"/>
      <c r="O320" s="1"/>
    </row>
    <row r="321" spans="8:15" ht="12.75" x14ac:dyDescent="0.2">
      <c r="H321" s="1"/>
      <c r="O321" s="1"/>
    </row>
    <row r="322" spans="8:15" ht="12.75" x14ac:dyDescent="0.2">
      <c r="H322" s="1"/>
      <c r="O322" s="1"/>
    </row>
    <row r="323" spans="8:15" ht="12.75" x14ac:dyDescent="0.2">
      <c r="H323" s="1"/>
      <c r="O323" s="1"/>
    </row>
    <row r="324" spans="8:15" ht="12.75" x14ac:dyDescent="0.2">
      <c r="H324" s="1"/>
      <c r="O324" s="1"/>
    </row>
    <row r="325" spans="8:15" ht="12.75" x14ac:dyDescent="0.2">
      <c r="H325" s="1"/>
      <c r="O325" s="1"/>
    </row>
    <row r="326" spans="8:15" ht="12.75" x14ac:dyDescent="0.2">
      <c r="H326" s="1"/>
      <c r="O326" s="1"/>
    </row>
    <row r="327" spans="8:15" ht="12.75" x14ac:dyDescent="0.2">
      <c r="H327" s="1"/>
      <c r="O327" s="1"/>
    </row>
    <row r="328" spans="8:15" ht="12.75" x14ac:dyDescent="0.2">
      <c r="H328" s="1"/>
      <c r="O328" s="1"/>
    </row>
    <row r="329" spans="8:15" ht="12.75" x14ac:dyDescent="0.2">
      <c r="H329" s="1"/>
      <c r="O329" s="1"/>
    </row>
    <row r="330" spans="8:15" ht="12.75" x14ac:dyDescent="0.2">
      <c r="H330" s="1"/>
      <c r="O330" s="1"/>
    </row>
    <row r="331" spans="8:15" ht="12.75" x14ac:dyDescent="0.2">
      <c r="H331" s="1"/>
      <c r="O331" s="1"/>
    </row>
    <row r="332" spans="8:15" ht="12.75" x14ac:dyDescent="0.2">
      <c r="H332" s="1"/>
      <c r="O332" s="1"/>
    </row>
    <row r="333" spans="8:15" ht="12.75" x14ac:dyDescent="0.2">
      <c r="H333" s="1"/>
      <c r="O333" s="1"/>
    </row>
    <row r="334" spans="8:15" ht="12.75" x14ac:dyDescent="0.2">
      <c r="H334" s="1"/>
      <c r="O334" s="1"/>
    </row>
    <row r="335" spans="8:15" ht="12.75" x14ac:dyDescent="0.2">
      <c r="H335" s="1"/>
      <c r="O335" s="1"/>
    </row>
    <row r="336" spans="8:15" ht="12.75" x14ac:dyDescent="0.2">
      <c r="H336" s="1"/>
      <c r="O336" s="1"/>
    </row>
    <row r="337" spans="8:15" ht="12.75" x14ac:dyDescent="0.2">
      <c r="H337" s="1"/>
      <c r="O337" s="1"/>
    </row>
    <row r="338" spans="8:15" ht="12.75" x14ac:dyDescent="0.2">
      <c r="H338" s="1"/>
      <c r="O338" s="1"/>
    </row>
    <row r="339" spans="8:15" ht="12.75" x14ac:dyDescent="0.2">
      <c r="H339" s="1"/>
      <c r="O339" s="1"/>
    </row>
    <row r="340" spans="8:15" ht="12.75" x14ac:dyDescent="0.2">
      <c r="H340" s="1"/>
      <c r="O340" s="1"/>
    </row>
    <row r="341" spans="8:15" ht="12.75" x14ac:dyDescent="0.2">
      <c r="H341" s="1"/>
      <c r="O341" s="1"/>
    </row>
    <row r="342" spans="8:15" ht="12.75" x14ac:dyDescent="0.2">
      <c r="H342" s="1"/>
      <c r="O342" s="1"/>
    </row>
    <row r="343" spans="8:15" ht="12.75" x14ac:dyDescent="0.2">
      <c r="H343" s="1"/>
      <c r="O343" s="1"/>
    </row>
    <row r="344" spans="8:15" ht="12.75" x14ac:dyDescent="0.2">
      <c r="H344" s="1"/>
      <c r="O344" s="1"/>
    </row>
    <row r="345" spans="8:15" ht="12.75" x14ac:dyDescent="0.2">
      <c r="H345" s="1"/>
      <c r="O345" s="1"/>
    </row>
    <row r="346" spans="8:15" ht="12.75" x14ac:dyDescent="0.2">
      <c r="H346" s="1"/>
      <c r="O346" s="1"/>
    </row>
    <row r="347" spans="8:15" ht="12.75" x14ac:dyDescent="0.2">
      <c r="H347" s="1"/>
      <c r="O347" s="1"/>
    </row>
    <row r="348" spans="8:15" ht="12.75" x14ac:dyDescent="0.2">
      <c r="H348" s="1"/>
      <c r="O348" s="1"/>
    </row>
    <row r="349" spans="8:15" ht="12.75" x14ac:dyDescent="0.2">
      <c r="H349" s="1"/>
      <c r="O349" s="1"/>
    </row>
    <row r="350" spans="8:15" ht="12.75" x14ac:dyDescent="0.2">
      <c r="H350" s="1"/>
      <c r="O350" s="1"/>
    </row>
    <row r="351" spans="8:15" ht="12.75" x14ac:dyDescent="0.2">
      <c r="H351" s="1"/>
      <c r="O351" s="1"/>
    </row>
    <row r="352" spans="8:15" ht="12.75" x14ac:dyDescent="0.2">
      <c r="H352" s="1"/>
      <c r="O352" s="1"/>
    </row>
    <row r="353" spans="8:15" ht="12.75" x14ac:dyDescent="0.2">
      <c r="H353" s="1"/>
      <c r="O353" s="1"/>
    </row>
    <row r="354" spans="8:15" ht="12.75" x14ac:dyDescent="0.2">
      <c r="H354" s="1"/>
      <c r="O354" s="1"/>
    </row>
    <row r="355" spans="8:15" ht="12.75" x14ac:dyDescent="0.2">
      <c r="H355" s="1"/>
      <c r="O355" s="1"/>
    </row>
    <row r="356" spans="8:15" ht="12.75" x14ac:dyDescent="0.2">
      <c r="H356" s="1"/>
      <c r="O356" s="1"/>
    </row>
    <row r="357" spans="8:15" ht="12.75" x14ac:dyDescent="0.2">
      <c r="H357" s="1"/>
      <c r="O357" s="1"/>
    </row>
    <row r="358" spans="8:15" ht="12.75" x14ac:dyDescent="0.2">
      <c r="H358" s="1"/>
      <c r="O358" s="1"/>
    </row>
    <row r="359" spans="8:15" ht="12.75" x14ac:dyDescent="0.2">
      <c r="H359" s="1"/>
      <c r="O359" s="1"/>
    </row>
    <row r="360" spans="8:15" ht="12.75" x14ac:dyDescent="0.2">
      <c r="H360" s="1"/>
      <c r="O360" s="1"/>
    </row>
    <row r="361" spans="8:15" ht="12.75" x14ac:dyDescent="0.2">
      <c r="H361" s="1"/>
      <c r="O361" s="1"/>
    </row>
    <row r="362" spans="8:15" ht="12.75" x14ac:dyDescent="0.2">
      <c r="H362" s="1"/>
      <c r="O362" s="1"/>
    </row>
    <row r="363" spans="8:15" ht="12.75" x14ac:dyDescent="0.2">
      <c r="H363" s="1"/>
      <c r="O363" s="1"/>
    </row>
    <row r="364" spans="8:15" ht="12.75" x14ac:dyDescent="0.2">
      <c r="H364" s="1"/>
      <c r="O364" s="1"/>
    </row>
    <row r="365" spans="8:15" ht="12.75" x14ac:dyDescent="0.2">
      <c r="H365" s="1"/>
      <c r="O365" s="1"/>
    </row>
    <row r="366" spans="8:15" ht="12.75" x14ac:dyDescent="0.2">
      <c r="H366" s="1"/>
      <c r="O366" s="1"/>
    </row>
    <row r="367" spans="8:15" ht="12.75" x14ac:dyDescent="0.2">
      <c r="H367" s="1"/>
      <c r="O367" s="1"/>
    </row>
    <row r="368" spans="8:15" ht="12.75" x14ac:dyDescent="0.2">
      <c r="H368" s="1"/>
      <c r="O368" s="1"/>
    </row>
    <row r="369" spans="8:15" ht="12.75" x14ac:dyDescent="0.2">
      <c r="H369" s="1"/>
      <c r="O369" s="1"/>
    </row>
    <row r="370" spans="8:15" ht="12.75" x14ac:dyDescent="0.2">
      <c r="H370" s="1"/>
      <c r="O370" s="1"/>
    </row>
    <row r="371" spans="8:15" ht="12.75" x14ac:dyDescent="0.2">
      <c r="H371" s="1"/>
      <c r="O371" s="1"/>
    </row>
    <row r="372" spans="8:15" ht="12.75" x14ac:dyDescent="0.2">
      <c r="H372" s="1"/>
      <c r="O372" s="1"/>
    </row>
    <row r="373" spans="8:15" ht="12.75" x14ac:dyDescent="0.2">
      <c r="H373" s="1"/>
      <c r="O373" s="1"/>
    </row>
    <row r="374" spans="8:15" ht="12.75" x14ac:dyDescent="0.2">
      <c r="H374" s="1"/>
      <c r="O374" s="1"/>
    </row>
    <row r="375" spans="8:15" ht="12.75" x14ac:dyDescent="0.2">
      <c r="H375" s="1"/>
      <c r="O375" s="1"/>
    </row>
    <row r="376" spans="8:15" ht="12.75" x14ac:dyDescent="0.2">
      <c r="H376" s="1"/>
      <c r="O376" s="1"/>
    </row>
    <row r="377" spans="8:15" ht="12.75" x14ac:dyDescent="0.2">
      <c r="H377" s="1"/>
      <c r="O377" s="1"/>
    </row>
    <row r="378" spans="8:15" ht="12.75" x14ac:dyDescent="0.2">
      <c r="H378" s="1"/>
      <c r="O378" s="1"/>
    </row>
    <row r="379" spans="8:15" ht="12.75" x14ac:dyDescent="0.2">
      <c r="H379" s="1"/>
      <c r="O379" s="1"/>
    </row>
    <row r="380" spans="8:15" ht="12.75" x14ac:dyDescent="0.2">
      <c r="H380" s="1"/>
      <c r="O380" s="1"/>
    </row>
    <row r="381" spans="8:15" ht="12.75" x14ac:dyDescent="0.2">
      <c r="H381" s="1"/>
      <c r="O381" s="1"/>
    </row>
    <row r="382" spans="8:15" ht="12.75" x14ac:dyDescent="0.2">
      <c r="H382" s="1"/>
      <c r="O382" s="1"/>
    </row>
    <row r="383" spans="8:15" ht="12.75" x14ac:dyDescent="0.2">
      <c r="H383" s="1"/>
      <c r="O383" s="1"/>
    </row>
    <row r="384" spans="8:15" ht="12.75" x14ac:dyDescent="0.2">
      <c r="H384" s="1"/>
      <c r="O384" s="1"/>
    </row>
    <row r="385" spans="8:15" ht="12.75" x14ac:dyDescent="0.2">
      <c r="H385" s="1"/>
      <c r="O385" s="1"/>
    </row>
    <row r="386" spans="8:15" ht="12.75" x14ac:dyDescent="0.2">
      <c r="H386" s="1"/>
      <c r="O386" s="1"/>
    </row>
    <row r="387" spans="8:15" ht="12.75" x14ac:dyDescent="0.2">
      <c r="H387" s="1"/>
      <c r="O387" s="1"/>
    </row>
    <row r="388" spans="8:15" ht="12.75" x14ac:dyDescent="0.2">
      <c r="H388" s="1"/>
      <c r="O388" s="1"/>
    </row>
    <row r="389" spans="8:15" ht="12.75" x14ac:dyDescent="0.2">
      <c r="H389" s="1"/>
      <c r="O389" s="1"/>
    </row>
    <row r="390" spans="8:15" ht="12.75" x14ac:dyDescent="0.2">
      <c r="H390" s="1"/>
      <c r="O390" s="1"/>
    </row>
    <row r="391" spans="8:15" ht="12.75" x14ac:dyDescent="0.2">
      <c r="H391" s="1"/>
      <c r="O391" s="1"/>
    </row>
    <row r="392" spans="8:15" ht="12.75" x14ac:dyDescent="0.2">
      <c r="H392" s="1"/>
      <c r="O392" s="1"/>
    </row>
    <row r="393" spans="8:15" ht="12.75" x14ac:dyDescent="0.2">
      <c r="H393" s="1"/>
      <c r="O393" s="1"/>
    </row>
    <row r="394" spans="8:15" ht="12.75" x14ac:dyDescent="0.2">
      <c r="H394" s="1"/>
      <c r="O394" s="1"/>
    </row>
    <row r="395" spans="8:15" ht="12.75" x14ac:dyDescent="0.2">
      <c r="H395" s="1"/>
      <c r="O395" s="1"/>
    </row>
    <row r="396" spans="8:15" ht="12.75" x14ac:dyDescent="0.2">
      <c r="H396" s="1"/>
      <c r="O396" s="1"/>
    </row>
    <row r="397" spans="8:15" ht="12.75" x14ac:dyDescent="0.2">
      <c r="H397" s="1"/>
      <c r="O397" s="1"/>
    </row>
    <row r="398" spans="8:15" ht="12.75" x14ac:dyDescent="0.2">
      <c r="H398" s="1"/>
      <c r="O398" s="1"/>
    </row>
    <row r="399" spans="8:15" ht="12.75" x14ac:dyDescent="0.2">
      <c r="H399" s="1"/>
      <c r="O399" s="1"/>
    </row>
    <row r="400" spans="8:15" ht="12.75" x14ac:dyDescent="0.2">
      <c r="H400" s="1"/>
      <c r="O400" s="1"/>
    </row>
    <row r="401" spans="8:15" ht="12.75" x14ac:dyDescent="0.2">
      <c r="H401" s="1"/>
      <c r="O401" s="1"/>
    </row>
    <row r="402" spans="8:15" ht="12.75" x14ac:dyDescent="0.2">
      <c r="H402" s="1"/>
      <c r="O402" s="1"/>
    </row>
    <row r="403" spans="8:15" ht="12.75" x14ac:dyDescent="0.2">
      <c r="H403" s="1"/>
      <c r="O403" s="1"/>
    </row>
    <row r="404" spans="8:15" ht="12.75" x14ac:dyDescent="0.2">
      <c r="H404" s="1"/>
      <c r="O404" s="1"/>
    </row>
    <row r="405" spans="8:15" ht="12.75" x14ac:dyDescent="0.2">
      <c r="H405" s="1"/>
      <c r="O405" s="1"/>
    </row>
    <row r="406" spans="8:15" ht="12.75" x14ac:dyDescent="0.2">
      <c r="H406" s="1"/>
      <c r="O406" s="1"/>
    </row>
    <row r="407" spans="8:15" ht="12.75" x14ac:dyDescent="0.2">
      <c r="H407" s="1"/>
      <c r="O407" s="1"/>
    </row>
    <row r="408" spans="8:15" ht="12.75" x14ac:dyDescent="0.2">
      <c r="H408" s="1"/>
      <c r="O408" s="1"/>
    </row>
    <row r="409" spans="8:15" ht="12.75" x14ac:dyDescent="0.2">
      <c r="H409" s="1"/>
      <c r="O409" s="1"/>
    </row>
    <row r="410" spans="8:15" ht="12.75" x14ac:dyDescent="0.2">
      <c r="H410" s="1"/>
      <c r="O410" s="1"/>
    </row>
    <row r="411" spans="8:15" ht="12.75" x14ac:dyDescent="0.2">
      <c r="H411" s="1"/>
      <c r="O411" s="1"/>
    </row>
    <row r="412" spans="8:15" ht="12.75" x14ac:dyDescent="0.2">
      <c r="H412" s="1"/>
      <c r="O412" s="1"/>
    </row>
    <row r="413" spans="8:15" ht="12.75" x14ac:dyDescent="0.2">
      <c r="H413" s="1"/>
      <c r="O413" s="1"/>
    </row>
    <row r="414" spans="8:15" ht="12.75" x14ac:dyDescent="0.2">
      <c r="H414" s="1"/>
      <c r="O414" s="1"/>
    </row>
    <row r="415" spans="8:15" ht="12.75" x14ac:dyDescent="0.2">
      <c r="H415" s="1"/>
      <c r="O415" s="1"/>
    </row>
    <row r="416" spans="8:15" ht="12.75" x14ac:dyDescent="0.2">
      <c r="H416" s="1"/>
      <c r="O416" s="1"/>
    </row>
    <row r="417" spans="8:15" ht="12.75" x14ac:dyDescent="0.2">
      <c r="H417" s="1"/>
      <c r="O417" s="1"/>
    </row>
    <row r="418" spans="8:15" ht="12.75" x14ac:dyDescent="0.2">
      <c r="H418" s="1"/>
      <c r="O418" s="1"/>
    </row>
    <row r="419" spans="8:15" ht="12.75" x14ac:dyDescent="0.2">
      <c r="H419" s="1"/>
      <c r="O419" s="1"/>
    </row>
    <row r="420" spans="8:15" ht="12.75" x14ac:dyDescent="0.2">
      <c r="H420" s="1"/>
      <c r="O420" s="1"/>
    </row>
    <row r="421" spans="8:15" ht="12.75" x14ac:dyDescent="0.2">
      <c r="H421" s="1"/>
      <c r="O421" s="1"/>
    </row>
    <row r="422" spans="8:15" ht="12.75" x14ac:dyDescent="0.2">
      <c r="H422" s="1"/>
      <c r="O422" s="1"/>
    </row>
    <row r="423" spans="8:15" ht="12.75" x14ac:dyDescent="0.2">
      <c r="H423" s="1"/>
      <c r="O423" s="1"/>
    </row>
    <row r="424" spans="8:15" ht="12.75" x14ac:dyDescent="0.2">
      <c r="H424" s="1"/>
      <c r="O424" s="1"/>
    </row>
    <row r="425" spans="8:15" ht="12.75" x14ac:dyDescent="0.2">
      <c r="H425" s="1"/>
      <c r="O425" s="1"/>
    </row>
    <row r="426" spans="8:15" ht="12.75" x14ac:dyDescent="0.2">
      <c r="H426" s="1"/>
      <c r="O426" s="1"/>
    </row>
    <row r="427" spans="8:15" ht="12.75" x14ac:dyDescent="0.2">
      <c r="H427" s="1"/>
      <c r="O427" s="1"/>
    </row>
    <row r="428" spans="8:15" ht="12.75" x14ac:dyDescent="0.2">
      <c r="H428" s="1"/>
      <c r="O428" s="1"/>
    </row>
    <row r="429" spans="8:15" ht="12.75" x14ac:dyDescent="0.2">
      <c r="H429" s="1"/>
      <c r="O429" s="1"/>
    </row>
    <row r="430" spans="8:15" ht="12.75" x14ac:dyDescent="0.2">
      <c r="H430" s="1"/>
      <c r="O430" s="1"/>
    </row>
    <row r="431" spans="8:15" ht="12.75" x14ac:dyDescent="0.2">
      <c r="H431" s="1"/>
      <c r="O431" s="1"/>
    </row>
    <row r="432" spans="8:15" ht="12.75" x14ac:dyDescent="0.2">
      <c r="H432" s="1"/>
      <c r="O432" s="1"/>
    </row>
    <row r="433" spans="8:15" ht="12.75" x14ac:dyDescent="0.2">
      <c r="H433" s="1"/>
      <c r="O433" s="1"/>
    </row>
    <row r="434" spans="8:15" ht="12.75" x14ac:dyDescent="0.2">
      <c r="H434" s="1"/>
      <c r="O434" s="1"/>
    </row>
    <row r="435" spans="8:15" ht="12.75" x14ac:dyDescent="0.2">
      <c r="H435" s="1"/>
      <c r="O435" s="1"/>
    </row>
    <row r="436" spans="8:15" ht="12.75" x14ac:dyDescent="0.2">
      <c r="H436" s="1"/>
      <c r="O436" s="1"/>
    </row>
    <row r="437" spans="8:15" ht="12.75" x14ac:dyDescent="0.2">
      <c r="H437" s="1"/>
      <c r="O437" s="1"/>
    </row>
    <row r="438" spans="8:15" ht="12.75" x14ac:dyDescent="0.2">
      <c r="H438" s="1"/>
      <c r="O438" s="1"/>
    </row>
    <row r="439" spans="8:15" ht="12.75" x14ac:dyDescent="0.2">
      <c r="H439" s="1"/>
      <c r="O439" s="1"/>
    </row>
    <row r="440" spans="8:15" ht="12.75" x14ac:dyDescent="0.2">
      <c r="H440" s="1"/>
      <c r="O440" s="1"/>
    </row>
    <row r="441" spans="8:15" ht="12.75" x14ac:dyDescent="0.2">
      <c r="H441" s="1"/>
      <c r="O441" s="1"/>
    </row>
    <row r="442" spans="8:15" ht="12.75" x14ac:dyDescent="0.2">
      <c r="H442" s="1"/>
      <c r="O442" s="1"/>
    </row>
    <row r="443" spans="8:15" ht="12.75" x14ac:dyDescent="0.2">
      <c r="H443" s="1"/>
      <c r="O443" s="1"/>
    </row>
    <row r="444" spans="8:15" ht="12.75" x14ac:dyDescent="0.2">
      <c r="H444" s="1"/>
      <c r="O444" s="1"/>
    </row>
    <row r="445" spans="8:15" ht="12.75" x14ac:dyDescent="0.2">
      <c r="H445" s="1"/>
      <c r="O445" s="1"/>
    </row>
    <row r="446" spans="8:15" ht="12.75" x14ac:dyDescent="0.2">
      <c r="H446" s="1"/>
      <c r="O446" s="1"/>
    </row>
    <row r="447" spans="8:15" ht="12.75" x14ac:dyDescent="0.2">
      <c r="H447" s="1"/>
      <c r="O447" s="1"/>
    </row>
    <row r="448" spans="8:15" ht="12.75" x14ac:dyDescent="0.2">
      <c r="H448" s="1"/>
      <c r="O448" s="1"/>
    </row>
    <row r="449" spans="8:15" ht="12.75" x14ac:dyDescent="0.2">
      <c r="H449" s="1"/>
      <c r="O449" s="1"/>
    </row>
    <row r="450" spans="8:15" ht="12.75" x14ac:dyDescent="0.2">
      <c r="H450" s="1"/>
      <c r="O450" s="1"/>
    </row>
    <row r="451" spans="8:15" ht="12.75" x14ac:dyDescent="0.2">
      <c r="H451" s="1"/>
      <c r="O451" s="1"/>
    </row>
    <row r="452" spans="8:15" ht="12.75" x14ac:dyDescent="0.2">
      <c r="H452" s="1"/>
      <c r="O452" s="1"/>
    </row>
    <row r="453" spans="8:15" ht="12.75" x14ac:dyDescent="0.2">
      <c r="H453" s="1"/>
      <c r="O453" s="1"/>
    </row>
    <row r="454" spans="8:15" ht="12.75" x14ac:dyDescent="0.2">
      <c r="H454" s="1"/>
      <c r="O454" s="1"/>
    </row>
    <row r="455" spans="8:15" ht="12.75" x14ac:dyDescent="0.2">
      <c r="H455" s="1"/>
      <c r="O455" s="1"/>
    </row>
    <row r="456" spans="8:15" ht="12.75" x14ac:dyDescent="0.2">
      <c r="H456" s="1"/>
      <c r="O456" s="1"/>
    </row>
    <row r="457" spans="8:15" ht="12.75" x14ac:dyDescent="0.2">
      <c r="H457" s="1"/>
      <c r="O457" s="1"/>
    </row>
    <row r="458" spans="8:15" ht="12.75" x14ac:dyDescent="0.2">
      <c r="H458" s="1"/>
      <c r="O458" s="1"/>
    </row>
    <row r="459" spans="8:15" ht="12.75" x14ac:dyDescent="0.2">
      <c r="H459" s="1"/>
      <c r="O459" s="1"/>
    </row>
    <row r="460" spans="8:15" ht="12.75" x14ac:dyDescent="0.2">
      <c r="H460" s="1"/>
      <c r="O460" s="1"/>
    </row>
    <row r="461" spans="8:15" ht="12.75" x14ac:dyDescent="0.2">
      <c r="H461" s="1"/>
      <c r="O461" s="1"/>
    </row>
    <row r="462" spans="8:15" ht="12.75" x14ac:dyDescent="0.2">
      <c r="H462" s="1"/>
      <c r="O462" s="1"/>
    </row>
    <row r="463" spans="8:15" ht="12.75" x14ac:dyDescent="0.2">
      <c r="H463" s="1"/>
      <c r="O463" s="1"/>
    </row>
    <row r="464" spans="8:15" ht="12.75" x14ac:dyDescent="0.2">
      <c r="H464" s="1"/>
      <c r="O464" s="1"/>
    </row>
    <row r="465" spans="8:15" ht="12.75" x14ac:dyDescent="0.2">
      <c r="H465" s="1"/>
      <c r="O465" s="1"/>
    </row>
    <row r="466" spans="8:15" ht="12.75" x14ac:dyDescent="0.2">
      <c r="H466" s="1"/>
      <c r="O466" s="1"/>
    </row>
    <row r="467" spans="8:15" ht="12.75" x14ac:dyDescent="0.2">
      <c r="H467" s="1"/>
      <c r="O467" s="1"/>
    </row>
    <row r="468" spans="8:15" ht="12.75" x14ac:dyDescent="0.2">
      <c r="H468" s="1"/>
      <c r="O468" s="1"/>
    </row>
    <row r="469" spans="8:15" ht="12.75" x14ac:dyDescent="0.2">
      <c r="H469" s="1"/>
      <c r="O469" s="1"/>
    </row>
    <row r="470" spans="8:15" ht="12.75" x14ac:dyDescent="0.2">
      <c r="H470" s="1"/>
      <c r="O470" s="1"/>
    </row>
    <row r="471" spans="8:15" ht="12.75" x14ac:dyDescent="0.2">
      <c r="H471" s="1"/>
      <c r="O471" s="1"/>
    </row>
    <row r="472" spans="8:15" ht="12.75" x14ac:dyDescent="0.2">
      <c r="H472" s="1"/>
      <c r="O472" s="1"/>
    </row>
    <row r="473" spans="8:15" ht="12.75" x14ac:dyDescent="0.2">
      <c r="H473" s="1"/>
      <c r="O473" s="1"/>
    </row>
    <row r="474" spans="8:15" ht="12.75" x14ac:dyDescent="0.2">
      <c r="H474" s="1"/>
      <c r="O474" s="1"/>
    </row>
    <row r="475" spans="8:15" ht="12.75" x14ac:dyDescent="0.2">
      <c r="H475" s="1"/>
      <c r="O475" s="1"/>
    </row>
    <row r="476" spans="8:15" ht="12.75" x14ac:dyDescent="0.2">
      <c r="H476" s="1"/>
      <c r="O476" s="1"/>
    </row>
    <row r="477" spans="8:15" ht="12.75" x14ac:dyDescent="0.2">
      <c r="H477" s="1"/>
      <c r="O477" s="1"/>
    </row>
    <row r="478" spans="8:15" ht="12.75" x14ac:dyDescent="0.2">
      <c r="H478" s="1"/>
      <c r="O478" s="1"/>
    </row>
    <row r="479" spans="8:15" ht="12.75" x14ac:dyDescent="0.2">
      <c r="H479" s="1"/>
      <c r="O479" s="1"/>
    </row>
    <row r="480" spans="8:15" ht="12.75" x14ac:dyDescent="0.2">
      <c r="H480" s="1"/>
      <c r="O480" s="1"/>
    </row>
    <row r="481" spans="8:15" ht="12.75" x14ac:dyDescent="0.2">
      <c r="H481" s="1"/>
      <c r="O481" s="1"/>
    </row>
    <row r="482" spans="8:15" ht="12.75" x14ac:dyDescent="0.2">
      <c r="H482" s="1"/>
      <c r="O482" s="1"/>
    </row>
    <row r="483" spans="8:15" ht="12.75" x14ac:dyDescent="0.2">
      <c r="H483" s="1"/>
      <c r="O483" s="1"/>
    </row>
    <row r="484" spans="8:15" ht="12.75" x14ac:dyDescent="0.2">
      <c r="H484" s="1"/>
      <c r="O484" s="1"/>
    </row>
    <row r="485" spans="8:15" ht="12.75" x14ac:dyDescent="0.2">
      <c r="H485" s="1"/>
      <c r="O485" s="1"/>
    </row>
    <row r="486" spans="8:15" ht="12.75" x14ac:dyDescent="0.2">
      <c r="H486" s="1"/>
      <c r="O486" s="1"/>
    </row>
    <row r="487" spans="8:15" ht="12.75" x14ac:dyDescent="0.2">
      <c r="H487" s="1"/>
      <c r="O487" s="1"/>
    </row>
    <row r="488" spans="8:15" ht="12.75" x14ac:dyDescent="0.2">
      <c r="H488" s="1"/>
      <c r="O488" s="1"/>
    </row>
    <row r="489" spans="8:15" ht="12.75" x14ac:dyDescent="0.2">
      <c r="H489" s="1"/>
      <c r="O489" s="1"/>
    </row>
    <row r="490" spans="8:15" ht="12.75" x14ac:dyDescent="0.2">
      <c r="H490" s="1"/>
      <c r="O490" s="1"/>
    </row>
    <row r="491" spans="8:15" ht="12.75" x14ac:dyDescent="0.2">
      <c r="H491" s="1"/>
      <c r="O491" s="1"/>
    </row>
    <row r="492" spans="8:15" ht="12.75" x14ac:dyDescent="0.2">
      <c r="H492" s="1"/>
      <c r="O492" s="1"/>
    </row>
    <row r="493" spans="8:15" ht="12.75" x14ac:dyDescent="0.2">
      <c r="H493" s="1"/>
      <c r="O493" s="1"/>
    </row>
    <row r="494" spans="8:15" ht="12.75" x14ac:dyDescent="0.2">
      <c r="H494" s="1"/>
      <c r="O494" s="1"/>
    </row>
    <row r="495" spans="8:15" ht="12.75" x14ac:dyDescent="0.2">
      <c r="H495" s="1"/>
      <c r="O495" s="1"/>
    </row>
    <row r="496" spans="8:15" ht="12.75" x14ac:dyDescent="0.2">
      <c r="H496" s="1"/>
      <c r="O496" s="1"/>
    </row>
    <row r="497" spans="8:15" ht="12.75" x14ac:dyDescent="0.2">
      <c r="H497" s="1"/>
      <c r="O497" s="1"/>
    </row>
    <row r="498" spans="8:15" ht="12.75" x14ac:dyDescent="0.2">
      <c r="H498" s="1"/>
      <c r="O498" s="1"/>
    </row>
    <row r="499" spans="8:15" ht="12.75" x14ac:dyDescent="0.2">
      <c r="H499" s="1"/>
      <c r="O499" s="1"/>
    </row>
    <row r="500" spans="8:15" ht="12.75" x14ac:dyDescent="0.2">
      <c r="H500" s="1"/>
      <c r="O500" s="1"/>
    </row>
    <row r="501" spans="8:15" ht="12.75" x14ac:dyDescent="0.2">
      <c r="H501" s="1"/>
      <c r="O501" s="1"/>
    </row>
    <row r="502" spans="8:15" ht="12.75" x14ac:dyDescent="0.2">
      <c r="H502" s="1"/>
      <c r="O502" s="1"/>
    </row>
    <row r="503" spans="8:15" ht="12.75" x14ac:dyDescent="0.2">
      <c r="H503" s="1"/>
      <c r="O503" s="1"/>
    </row>
    <row r="504" spans="8:15" ht="12.75" x14ac:dyDescent="0.2">
      <c r="H504" s="1"/>
      <c r="O504" s="1"/>
    </row>
    <row r="505" spans="8:15" ht="12.75" x14ac:dyDescent="0.2">
      <c r="H505" s="1"/>
      <c r="O505" s="1"/>
    </row>
    <row r="506" spans="8:15" ht="12.75" x14ac:dyDescent="0.2">
      <c r="H506" s="1"/>
      <c r="O506" s="1"/>
    </row>
    <row r="507" spans="8:15" ht="12.75" x14ac:dyDescent="0.2">
      <c r="H507" s="1"/>
      <c r="O507" s="1"/>
    </row>
    <row r="508" spans="8:15" ht="12.75" x14ac:dyDescent="0.2">
      <c r="H508" s="1"/>
      <c r="O508" s="1"/>
    </row>
    <row r="509" spans="8:15" ht="12.75" x14ac:dyDescent="0.2">
      <c r="H509" s="1"/>
      <c r="O509" s="1"/>
    </row>
    <row r="510" spans="8:15" ht="12.75" x14ac:dyDescent="0.2">
      <c r="H510" s="1"/>
      <c r="O510" s="1"/>
    </row>
    <row r="511" spans="8:15" ht="12.75" x14ac:dyDescent="0.2">
      <c r="H511" s="1"/>
      <c r="O511" s="1"/>
    </row>
    <row r="512" spans="8:15" ht="12.75" x14ac:dyDescent="0.2">
      <c r="H512" s="1"/>
      <c r="O512" s="1"/>
    </row>
    <row r="513" spans="8:15" ht="12.75" x14ac:dyDescent="0.2">
      <c r="H513" s="1"/>
      <c r="O513" s="1"/>
    </row>
    <row r="514" spans="8:15" ht="12.75" x14ac:dyDescent="0.2">
      <c r="H514" s="1"/>
      <c r="O514" s="1"/>
    </row>
    <row r="515" spans="8:15" ht="12.75" x14ac:dyDescent="0.2">
      <c r="H515" s="1"/>
      <c r="O515" s="1"/>
    </row>
    <row r="516" spans="8:15" ht="12.75" x14ac:dyDescent="0.2">
      <c r="H516" s="1"/>
      <c r="O516" s="1"/>
    </row>
    <row r="517" spans="8:15" ht="12.75" x14ac:dyDescent="0.2">
      <c r="H517" s="1"/>
      <c r="O517" s="1"/>
    </row>
    <row r="518" spans="8:15" ht="12.75" x14ac:dyDescent="0.2">
      <c r="H518" s="1"/>
      <c r="O518" s="1"/>
    </row>
    <row r="519" spans="8:15" ht="12.75" x14ac:dyDescent="0.2">
      <c r="H519" s="1"/>
      <c r="O519" s="1"/>
    </row>
    <row r="520" spans="8:15" ht="12.75" x14ac:dyDescent="0.2">
      <c r="H520" s="1"/>
      <c r="O520" s="1"/>
    </row>
    <row r="521" spans="8:15" ht="12.75" x14ac:dyDescent="0.2">
      <c r="H521" s="1"/>
      <c r="O521" s="1"/>
    </row>
    <row r="522" spans="8:15" ht="12.75" x14ac:dyDescent="0.2">
      <c r="H522" s="1"/>
      <c r="O522" s="1"/>
    </row>
    <row r="523" spans="8:15" ht="12.75" x14ac:dyDescent="0.2">
      <c r="H523" s="1"/>
      <c r="O523" s="1"/>
    </row>
    <row r="524" spans="8:15" ht="12.75" x14ac:dyDescent="0.2">
      <c r="H524" s="1"/>
      <c r="O524" s="1"/>
    </row>
    <row r="525" spans="8:15" ht="12.75" x14ac:dyDescent="0.2">
      <c r="H525" s="1"/>
      <c r="O525" s="1"/>
    </row>
    <row r="526" spans="8:15" ht="12.75" x14ac:dyDescent="0.2">
      <c r="H526" s="1"/>
      <c r="O526" s="1"/>
    </row>
    <row r="527" spans="8:15" ht="12.75" x14ac:dyDescent="0.2">
      <c r="H527" s="1"/>
      <c r="O527" s="1"/>
    </row>
    <row r="528" spans="8:15" ht="12.75" x14ac:dyDescent="0.2">
      <c r="H528" s="1"/>
      <c r="O528" s="1"/>
    </row>
    <row r="529" spans="8:15" ht="12.75" x14ac:dyDescent="0.2">
      <c r="H529" s="1"/>
      <c r="O529" s="1"/>
    </row>
    <row r="530" spans="8:15" ht="12.75" x14ac:dyDescent="0.2">
      <c r="H530" s="1"/>
      <c r="O530" s="1"/>
    </row>
    <row r="531" spans="8:15" ht="12.75" x14ac:dyDescent="0.2">
      <c r="H531" s="1"/>
      <c r="O531" s="1"/>
    </row>
    <row r="532" spans="8:15" ht="12.75" x14ac:dyDescent="0.2">
      <c r="H532" s="1"/>
      <c r="O532" s="1"/>
    </row>
    <row r="533" spans="8:15" ht="12.75" x14ac:dyDescent="0.2">
      <c r="H533" s="1"/>
      <c r="O533" s="1"/>
    </row>
    <row r="534" spans="8:15" ht="12.75" x14ac:dyDescent="0.2">
      <c r="H534" s="1"/>
      <c r="O534" s="1"/>
    </row>
    <row r="535" spans="8:15" ht="12.75" x14ac:dyDescent="0.2">
      <c r="H535" s="1"/>
      <c r="O535" s="1"/>
    </row>
    <row r="536" spans="8:15" ht="12.75" x14ac:dyDescent="0.2">
      <c r="H536" s="1"/>
      <c r="O536" s="1"/>
    </row>
    <row r="537" spans="8:15" ht="12.75" x14ac:dyDescent="0.2">
      <c r="H537" s="1"/>
      <c r="O537" s="1"/>
    </row>
    <row r="538" spans="8:15" ht="12.75" x14ac:dyDescent="0.2">
      <c r="H538" s="1"/>
      <c r="O538" s="1"/>
    </row>
    <row r="539" spans="8:15" ht="12.75" x14ac:dyDescent="0.2">
      <c r="H539" s="1"/>
      <c r="O539" s="1"/>
    </row>
    <row r="540" spans="8:15" ht="12.75" x14ac:dyDescent="0.2">
      <c r="H540" s="1"/>
      <c r="O540" s="1"/>
    </row>
    <row r="541" spans="8:15" ht="12.75" x14ac:dyDescent="0.2">
      <c r="H541" s="1"/>
      <c r="O541" s="1"/>
    </row>
    <row r="542" spans="8:15" ht="12.75" x14ac:dyDescent="0.2">
      <c r="H542" s="1"/>
      <c r="O542" s="1"/>
    </row>
    <row r="543" spans="8:15" ht="12.75" x14ac:dyDescent="0.2">
      <c r="H543" s="1"/>
      <c r="O543" s="1"/>
    </row>
    <row r="544" spans="8:15" ht="12.75" x14ac:dyDescent="0.2">
      <c r="H544" s="1"/>
      <c r="O544" s="1"/>
    </row>
    <row r="545" spans="8:15" ht="12.75" x14ac:dyDescent="0.2">
      <c r="H545" s="1"/>
      <c r="O545" s="1"/>
    </row>
    <row r="546" spans="8:15" ht="12.75" x14ac:dyDescent="0.2">
      <c r="H546" s="1"/>
      <c r="O546" s="1"/>
    </row>
    <row r="547" spans="8:15" ht="12.75" x14ac:dyDescent="0.2">
      <c r="H547" s="1"/>
      <c r="O547" s="1"/>
    </row>
    <row r="548" spans="8:15" ht="12.75" x14ac:dyDescent="0.2">
      <c r="H548" s="1"/>
      <c r="O548" s="1"/>
    </row>
    <row r="549" spans="8:15" ht="12.75" x14ac:dyDescent="0.2">
      <c r="H549" s="1"/>
      <c r="O549" s="1"/>
    </row>
    <row r="550" spans="8:15" ht="12.75" x14ac:dyDescent="0.2">
      <c r="H550" s="1"/>
      <c r="O550" s="1"/>
    </row>
    <row r="551" spans="8:15" ht="12.75" x14ac:dyDescent="0.2">
      <c r="H551" s="1"/>
      <c r="O551" s="1"/>
    </row>
    <row r="552" spans="8:15" ht="12.75" x14ac:dyDescent="0.2">
      <c r="H552" s="1"/>
      <c r="O552" s="1"/>
    </row>
    <row r="553" spans="8:15" ht="12.75" x14ac:dyDescent="0.2">
      <c r="H553" s="1"/>
      <c r="O553" s="1"/>
    </row>
    <row r="554" spans="8:15" ht="12.75" x14ac:dyDescent="0.2">
      <c r="H554" s="1"/>
      <c r="O554" s="1"/>
    </row>
    <row r="555" spans="8:15" ht="12.75" x14ac:dyDescent="0.2">
      <c r="H555" s="1"/>
      <c r="O555" s="1"/>
    </row>
    <row r="556" spans="8:15" ht="12.75" x14ac:dyDescent="0.2">
      <c r="H556" s="1"/>
      <c r="O556" s="1"/>
    </row>
    <row r="557" spans="8:15" ht="12.75" x14ac:dyDescent="0.2">
      <c r="H557" s="1"/>
      <c r="O557" s="1"/>
    </row>
    <row r="558" spans="8:15" ht="12.75" x14ac:dyDescent="0.2">
      <c r="H558" s="1"/>
      <c r="O558" s="1"/>
    </row>
    <row r="559" spans="8:15" ht="12.75" x14ac:dyDescent="0.2">
      <c r="H559" s="1"/>
      <c r="O559" s="1"/>
    </row>
    <row r="560" spans="8:15" ht="12.75" x14ac:dyDescent="0.2">
      <c r="H560" s="1"/>
      <c r="O560" s="1"/>
    </row>
    <row r="561" spans="8:15" ht="12.75" x14ac:dyDescent="0.2">
      <c r="H561" s="1"/>
      <c r="O561" s="1"/>
    </row>
    <row r="562" spans="8:15" ht="12.75" x14ac:dyDescent="0.2">
      <c r="H562" s="1"/>
      <c r="O562" s="1"/>
    </row>
    <row r="563" spans="8:15" ht="12.75" x14ac:dyDescent="0.2">
      <c r="H563" s="1"/>
      <c r="O563" s="1"/>
    </row>
    <row r="564" spans="8:15" ht="12.75" x14ac:dyDescent="0.2">
      <c r="H564" s="1"/>
      <c r="O564" s="1"/>
    </row>
    <row r="565" spans="8:15" ht="12.75" x14ac:dyDescent="0.2">
      <c r="H565" s="1"/>
      <c r="O565" s="1"/>
    </row>
    <row r="566" spans="8:15" ht="12.75" x14ac:dyDescent="0.2">
      <c r="H566" s="1"/>
      <c r="O566" s="1"/>
    </row>
    <row r="567" spans="8:15" ht="12.75" x14ac:dyDescent="0.2">
      <c r="H567" s="1"/>
      <c r="O567" s="1"/>
    </row>
    <row r="568" spans="8:15" ht="12.75" x14ac:dyDescent="0.2">
      <c r="H568" s="1"/>
      <c r="O568" s="1"/>
    </row>
    <row r="569" spans="8:15" ht="12.75" x14ac:dyDescent="0.2">
      <c r="H569" s="1"/>
      <c r="O569" s="1"/>
    </row>
    <row r="570" spans="8:15" ht="12.75" x14ac:dyDescent="0.2">
      <c r="H570" s="1"/>
      <c r="O570" s="1"/>
    </row>
    <row r="571" spans="8:15" ht="12.75" x14ac:dyDescent="0.2">
      <c r="H571" s="1"/>
      <c r="O571" s="1"/>
    </row>
    <row r="572" spans="8:15" ht="12.75" x14ac:dyDescent="0.2">
      <c r="H572" s="1"/>
      <c r="O572" s="1"/>
    </row>
    <row r="573" spans="8:15" ht="12.75" x14ac:dyDescent="0.2">
      <c r="H573" s="1"/>
      <c r="O573" s="1"/>
    </row>
    <row r="574" spans="8:15" ht="12.75" x14ac:dyDescent="0.2">
      <c r="H574" s="1"/>
      <c r="O574" s="1"/>
    </row>
    <row r="575" spans="8:15" ht="12.75" x14ac:dyDescent="0.2">
      <c r="H575" s="1"/>
      <c r="O575" s="1"/>
    </row>
    <row r="576" spans="8:15" ht="12.75" x14ac:dyDescent="0.2">
      <c r="H576" s="1"/>
      <c r="O576" s="1"/>
    </row>
    <row r="577" spans="8:15" ht="12.75" x14ac:dyDescent="0.2">
      <c r="H577" s="1"/>
      <c r="O577" s="1"/>
    </row>
    <row r="578" spans="8:15" ht="12.75" x14ac:dyDescent="0.2">
      <c r="H578" s="1"/>
      <c r="O578" s="1"/>
    </row>
    <row r="579" spans="8:15" ht="12.75" x14ac:dyDescent="0.2">
      <c r="H579" s="1"/>
      <c r="O579" s="1"/>
    </row>
    <row r="580" spans="8:15" ht="12.75" x14ac:dyDescent="0.2">
      <c r="H580" s="1"/>
      <c r="O580" s="1"/>
    </row>
    <row r="581" spans="8:15" ht="12.75" x14ac:dyDescent="0.2">
      <c r="H581" s="1"/>
      <c r="O581" s="1"/>
    </row>
    <row r="582" spans="8:15" ht="12.75" x14ac:dyDescent="0.2">
      <c r="H582" s="1"/>
      <c r="O582" s="1"/>
    </row>
    <row r="583" spans="8:15" ht="12.75" x14ac:dyDescent="0.2">
      <c r="H583" s="1"/>
      <c r="O583" s="1"/>
    </row>
    <row r="584" spans="8:15" ht="12.75" x14ac:dyDescent="0.2">
      <c r="H584" s="1"/>
      <c r="O584" s="1"/>
    </row>
    <row r="585" spans="8:15" ht="12.75" x14ac:dyDescent="0.2">
      <c r="H585" s="1"/>
      <c r="O585" s="1"/>
    </row>
    <row r="586" spans="8:15" ht="12.75" x14ac:dyDescent="0.2">
      <c r="H586" s="1"/>
      <c r="O586" s="1"/>
    </row>
    <row r="587" spans="8:15" ht="12.75" x14ac:dyDescent="0.2">
      <c r="H587" s="1"/>
      <c r="O587" s="1"/>
    </row>
    <row r="588" spans="8:15" ht="12.75" x14ac:dyDescent="0.2">
      <c r="H588" s="1"/>
      <c r="O588" s="1"/>
    </row>
    <row r="589" spans="8:15" ht="12.75" x14ac:dyDescent="0.2">
      <c r="H589" s="1"/>
      <c r="O589" s="1"/>
    </row>
    <row r="590" spans="8:15" ht="12.75" x14ac:dyDescent="0.2">
      <c r="H590" s="1"/>
      <c r="O590" s="1"/>
    </row>
    <row r="591" spans="8:15" ht="12.75" x14ac:dyDescent="0.2">
      <c r="H591" s="1"/>
      <c r="O591" s="1"/>
    </row>
    <row r="592" spans="8:15" ht="12.75" x14ac:dyDescent="0.2">
      <c r="H592" s="1"/>
      <c r="O592" s="1"/>
    </row>
    <row r="593" spans="8:15" ht="12.75" x14ac:dyDescent="0.2">
      <c r="H593" s="1"/>
      <c r="O593" s="1"/>
    </row>
    <row r="594" spans="8:15" ht="12.75" x14ac:dyDescent="0.2">
      <c r="H594" s="1"/>
      <c r="O594" s="1"/>
    </row>
    <row r="595" spans="8:15" ht="12.75" x14ac:dyDescent="0.2">
      <c r="H595" s="1"/>
      <c r="O595" s="1"/>
    </row>
    <row r="596" spans="8:15" ht="12.75" x14ac:dyDescent="0.2">
      <c r="H596" s="1"/>
      <c r="O596" s="1"/>
    </row>
    <row r="597" spans="8:15" ht="12.75" x14ac:dyDescent="0.2">
      <c r="H597" s="1"/>
      <c r="O597" s="1"/>
    </row>
    <row r="598" spans="8:15" ht="12.75" x14ac:dyDescent="0.2">
      <c r="H598" s="1"/>
      <c r="O598" s="1"/>
    </row>
    <row r="599" spans="8:15" ht="12.75" x14ac:dyDescent="0.2">
      <c r="H599" s="1"/>
      <c r="O599" s="1"/>
    </row>
    <row r="600" spans="8:15" ht="12.75" x14ac:dyDescent="0.2">
      <c r="H600" s="1"/>
      <c r="O600" s="1"/>
    </row>
    <row r="601" spans="8:15" ht="12.75" x14ac:dyDescent="0.2">
      <c r="H601" s="1"/>
      <c r="O601" s="1"/>
    </row>
    <row r="602" spans="8:15" ht="12.75" x14ac:dyDescent="0.2">
      <c r="H602" s="1"/>
      <c r="O602" s="1"/>
    </row>
    <row r="603" spans="8:15" ht="12.75" x14ac:dyDescent="0.2">
      <c r="H603" s="1"/>
      <c r="O603" s="1"/>
    </row>
    <row r="604" spans="8:15" ht="12.75" x14ac:dyDescent="0.2">
      <c r="H604" s="1"/>
      <c r="O604" s="1"/>
    </row>
    <row r="605" spans="8:15" ht="12.75" x14ac:dyDescent="0.2">
      <c r="H605" s="1"/>
      <c r="O605" s="1"/>
    </row>
    <row r="606" spans="8:15" ht="12.75" x14ac:dyDescent="0.2">
      <c r="H606" s="1"/>
      <c r="O606" s="1"/>
    </row>
    <row r="607" spans="8:15" ht="12.75" x14ac:dyDescent="0.2">
      <c r="H607" s="1"/>
      <c r="O607" s="1"/>
    </row>
    <row r="608" spans="8:15" ht="12.75" x14ac:dyDescent="0.2">
      <c r="H608" s="1"/>
      <c r="O608" s="1"/>
    </row>
    <row r="609" spans="8:15" ht="12.75" x14ac:dyDescent="0.2">
      <c r="H609" s="1"/>
      <c r="O609" s="1"/>
    </row>
    <row r="610" spans="8:15" ht="12.75" x14ac:dyDescent="0.2">
      <c r="H610" s="1"/>
      <c r="O610" s="1"/>
    </row>
    <row r="611" spans="8:15" ht="12.75" x14ac:dyDescent="0.2">
      <c r="H611" s="1"/>
      <c r="O611" s="1"/>
    </row>
    <row r="612" spans="8:15" ht="12.75" x14ac:dyDescent="0.2">
      <c r="H612" s="1"/>
      <c r="O612" s="1"/>
    </row>
    <row r="613" spans="8:15" ht="12.75" x14ac:dyDescent="0.2">
      <c r="H613" s="1"/>
      <c r="O613" s="1"/>
    </row>
    <row r="614" spans="8:15" ht="12.75" x14ac:dyDescent="0.2">
      <c r="H614" s="1"/>
      <c r="O614" s="1"/>
    </row>
    <row r="615" spans="8:15" ht="12.75" x14ac:dyDescent="0.2">
      <c r="H615" s="1"/>
      <c r="O615" s="1"/>
    </row>
    <row r="616" spans="8:15" ht="12.75" x14ac:dyDescent="0.2">
      <c r="H616" s="1"/>
      <c r="O616" s="1"/>
    </row>
    <row r="617" spans="8:15" ht="12.75" x14ac:dyDescent="0.2">
      <c r="H617" s="1"/>
      <c r="O617" s="1"/>
    </row>
    <row r="618" spans="8:15" ht="12.75" x14ac:dyDescent="0.2">
      <c r="H618" s="1"/>
      <c r="O618" s="1"/>
    </row>
    <row r="619" spans="8:15" ht="12.75" x14ac:dyDescent="0.2">
      <c r="H619" s="1"/>
      <c r="O619" s="1"/>
    </row>
    <row r="620" spans="8:15" ht="12.75" x14ac:dyDescent="0.2">
      <c r="H620" s="1"/>
      <c r="O620" s="1"/>
    </row>
    <row r="621" spans="8:15" ht="12.75" x14ac:dyDescent="0.2">
      <c r="H621" s="1"/>
      <c r="O621" s="1"/>
    </row>
    <row r="622" spans="8:15" ht="12.75" x14ac:dyDescent="0.2">
      <c r="H622" s="1"/>
      <c r="O622" s="1"/>
    </row>
    <row r="623" spans="8:15" ht="12.75" x14ac:dyDescent="0.2">
      <c r="H623" s="1"/>
      <c r="O623" s="1"/>
    </row>
    <row r="624" spans="8:15" ht="12.75" x14ac:dyDescent="0.2">
      <c r="H624" s="1"/>
      <c r="O624" s="1"/>
    </row>
    <row r="625" spans="8:15" ht="12.75" x14ac:dyDescent="0.2">
      <c r="H625" s="1"/>
      <c r="O625" s="1"/>
    </row>
    <row r="626" spans="8:15" ht="12.75" x14ac:dyDescent="0.2">
      <c r="H626" s="1"/>
      <c r="O626" s="1"/>
    </row>
    <row r="627" spans="8:15" ht="12.75" x14ac:dyDescent="0.2">
      <c r="H627" s="1"/>
      <c r="O627" s="1"/>
    </row>
    <row r="628" spans="8:15" ht="12.75" x14ac:dyDescent="0.2">
      <c r="H628" s="1"/>
      <c r="O628" s="1"/>
    </row>
    <row r="629" spans="8:15" ht="12.75" x14ac:dyDescent="0.2">
      <c r="H629" s="1"/>
      <c r="O629" s="1"/>
    </row>
    <row r="630" spans="8:15" ht="12.75" x14ac:dyDescent="0.2">
      <c r="H630" s="1"/>
      <c r="O630" s="1"/>
    </row>
    <row r="631" spans="8:15" ht="12.75" x14ac:dyDescent="0.2">
      <c r="H631" s="1"/>
      <c r="O631" s="1"/>
    </row>
    <row r="632" spans="8:15" ht="12.75" x14ac:dyDescent="0.2">
      <c r="H632" s="1"/>
      <c r="O632" s="1"/>
    </row>
    <row r="633" spans="8:15" ht="12.75" x14ac:dyDescent="0.2">
      <c r="H633" s="1"/>
      <c r="O633" s="1"/>
    </row>
    <row r="634" spans="8:15" ht="12.75" x14ac:dyDescent="0.2">
      <c r="H634" s="1"/>
      <c r="O634" s="1"/>
    </row>
    <row r="635" spans="8:15" ht="12.75" x14ac:dyDescent="0.2">
      <c r="H635" s="1"/>
      <c r="O635" s="1"/>
    </row>
    <row r="636" spans="8:15" ht="12.75" x14ac:dyDescent="0.2">
      <c r="H636" s="1"/>
      <c r="O636" s="1"/>
    </row>
    <row r="637" spans="8:15" ht="12.75" x14ac:dyDescent="0.2">
      <c r="H637" s="1"/>
      <c r="O637" s="1"/>
    </row>
    <row r="638" spans="8:15" ht="12.75" x14ac:dyDescent="0.2">
      <c r="H638" s="1"/>
      <c r="O638" s="1"/>
    </row>
    <row r="639" spans="8:15" ht="12.75" x14ac:dyDescent="0.2">
      <c r="H639" s="1"/>
      <c r="O639" s="1"/>
    </row>
    <row r="640" spans="8:15" ht="12.75" x14ac:dyDescent="0.2">
      <c r="H640" s="1"/>
      <c r="O640" s="1"/>
    </row>
    <row r="641" spans="8:15" ht="12.75" x14ac:dyDescent="0.2">
      <c r="H641" s="1"/>
      <c r="O641" s="1"/>
    </row>
    <row r="642" spans="8:15" ht="12.75" x14ac:dyDescent="0.2">
      <c r="H642" s="1"/>
      <c r="O642" s="1"/>
    </row>
    <row r="643" spans="8:15" ht="12.75" x14ac:dyDescent="0.2">
      <c r="H643" s="1"/>
      <c r="O643" s="1"/>
    </row>
    <row r="644" spans="8:15" ht="12.75" x14ac:dyDescent="0.2">
      <c r="H644" s="1"/>
      <c r="O644" s="1"/>
    </row>
    <row r="645" spans="8:15" ht="12.75" x14ac:dyDescent="0.2">
      <c r="H645" s="1"/>
      <c r="O645" s="1"/>
    </row>
    <row r="646" spans="8:15" ht="12.75" x14ac:dyDescent="0.2">
      <c r="H646" s="1"/>
      <c r="O646" s="1"/>
    </row>
    <row r="647" spans="8:15" ht="12.75" x14ac:dyDescent="0.2">
      <c r="H647" s="1"/>
      <c r="O647" s="1"/>
    </row>
    <row r="648" spans="8:15" ht="12.75" x14ac:dyDescent="0.2">
      <c r="H648" s="1"/>
      <c r="O648" s="1"/>
    </row>
    <row r="649" spans="8:15" ht="12.75" x14ac:dyDescent="0.2">
      <c r="H649" s="1"/>
      <c r="O649" s="1"/>
    </row>
    <row r="650" spans="8:15" ht="12.75" x14ac:dyDescent="0.2">
      <c r="H650" s="1"/>
      <c r="O650" s="1"/>
    </row>
    <row r="651" spans="8:15" ht="12.75" x14ac:dyDescent="0.2">
      <c r="H651" s="1"/>
      <c r="O651" s="1"/>
    </row>
    <row r="652" spans="8:15" ht="12.75" x14ac:dyDescent="0.2">
      <c r="H652" s="1"/>
      <c r="O652" s="1"/>
    </row>
    <row r="653" spans="8:15" ht="12.75" x14ac:dyDescent="0.2">
      <c r="H653" s="1"/>
      <c r="O653" s="1"/>
    </row>
    <row r="654" spans="8:15" ht="12.75" x14ac:dyDescent="0.2">
      <c r="H654" s="1"/>
      <c r="O654" s="1"/>
    </row>
    <row r="655" spans="8:15" ht="12.75" x14ac:dyDescent="0.2">
      <c r="H655" s="1"/>
      <c r="O655" s="1"/>
    </row>
    <row r="656" spans="8:15" ht="12.75" x14ac:dyDescent="0.2">
      <c r="H656" s="1"/>
      <c r="O656" s="1"/>
    </row>
    <row r="657" spans="8:15" ht="12.75" x14ac:dyDescent="0.2">
      <c r="H657" s="1"/>
      <c r="O657" s="1"/>
    </row>
    <row r="658" spans="8:15" ht="12.75" x14ac:dyDescent="0.2">
      <c r="H658" s="1"/>
      <c r="O658" s="1"/>
    </row>
    <row r="659" spans="8:15" ht="12.75" x14ac:dyDescent="0.2">
      <c r="H659" s="1"/>
      <c r="O659" s="1"/>
    </row>
    <row r="660" spans="8:15" ht="12.75" x14ac:dyDescent="0.2">
      <c r="H660" s="1"/>
      <c r="O660" s="1"/>
    </row>
    <row r="661" spans="8:15" ht="12.75" x14ac:dyDescent="0.2">
      <c r="H661" s="1"/>
      <c r="O661" s="1"/>
    </row>
    <row r="662" spans="8:15" ht="12.75" x14ac:dyDescent="0.2">
      <c r="H662" s="1"/>
      <c r="O662" s="1"/>
    </row>
    <row r="663" spans="8:15" ht="12.75" x14ac:dyDescent="0.2">
      <c r="H663" s="1"/>
      <c r="O663" s="1"/>
    </row>
    <row r="664" spans="8:15" ht="12.75" x14ac:dyDescent="0.2">
      <c r="H664" s="1"/>
      <c r="O664" s="1"/>
    </row>
    <row r="665" spans="8:15" ht="12.75" x14ac:dyDescent="0.2">
      <c r="H665" s="1"/>
      <c r="O665" s="1"/>
    </row>
    <row r="666" spans="8:15" ht="12.75" x14ac:dyDescent="0.2">
      <c r="H666" s="1"/>
      <c r="O666" s="1"/>
    </row>
    <row r="667" spans="8:15" ht="12.75" x14ac:dyDescent="0.2">
      <c r="H667" s="1"/>
      <c r="O667" s="1"/>
    </row>
    <row r="668" spans="8:15" ht="12.75" x14ac:dyDescent="0.2">
      <c r="H668" s="1"/>
      <c r="O668" s="1"/>
    </row>
    <row r="669" spans="8:15" ht="12.75" x14ac:dyDescent="0.2">
      <c r="H669" s="1"/>
      <c r="O669" s="1"/>
    </row>
    <row r="670" spans="8:15" ht="12.75" x14ac:dyDescent="0.2">
      <c r="H670" s="1"/>
      <c r="O670" s="1"/>
    </row>
    <row r="671" spans="8:15" ht="12.75" x14ac:dyDescent="0.2">
      <c r="H671" s="1"/>
      <c r="O671" s="1"/>
    </row>
    <row r="672" spans="8:15" ht="12.75" x14ac:dyDescent="0.2">
      <c r="H672" s="1"/>
      <c r="O672" s="1"/>
    </row>
    <row r="673" spans="8:15" ht="12.75" x14ac:dyDescent="0.2">
      <c r="H673" s="1"/>
      <c r="O673" s="1"/>
    </row>
    <row r="674" spans="8:15" ht="12.75" x14ac:dyDescent="0.2">
      <c r="H674" s="1"/>
      <c r="O674" s="1"/>
    </row>
    <row r="675" spans="8:15" ht="12.75" x14ac:dyDescent="0.2">
      <c r="H675" s="1"/>
      <c r="O675" s="1"/>
    </row>
    <row r="676" spans="8:15" ht="12.75" x14ac:dyDescent="0.2">
      <c r="H676" s="1"/>
      <c r="O676" s="1"/>
    </row>
    <row r="677" spans="8:15" ht="12.75" x14ac:dyDescent="0.2">
      <c r="H677" s="1"/>
      <c r="O677" s="1"/>
    </row>
    <row r="678" spans="8:15" ht="12.75" x14ac:dyDescent="0.2">
      <c r="H678" s="1"/>
      <c r="O678" s="1"/>
    </row>
    <row r="679" spans="8:15" ht="12.75" x14ac:dyDescent="0.2">
      <c r="H679" s="1"/>
      <c r="O679" s="1"/>
    </row>
    <row r="680" spans="8:15" ht="12.75" x14ac:dyDescent="0.2">
      <c r="H680" s="1"/>
      <c r="O680" s="1"/>
    </row>
    <row r="681" spans="8:15" ht="12.75" x14ac:dyDescent="0.2">
      <c r="H681" s="1"/>
      <c r="O681" s="1"/>
    </row>
    <row r="682" spans="8:15" ht="12.75" x14ac:dyDescent="0.2">
      <c r="H682" s="1"/>
      <c r="O682" s="1"/>
    </row>
    <row r="683" spans="8:15" ht="12.75" x14ac:dyDescent="0.2">
      <c r="H683" s="1"/>
      <c r="O683" s="1"/>
    </row>
    <row r="684" spans="8:15" ht="12.75" x14ac:dyDescent="0.2">
      <c r="H684" s="1"/>
      <c r="O684" s="1"/>
    </row>
    <row r="685" spans="8:15" ht="12.75" x14ac:dyDescent="0.2">
      <c r="H685" s="1"/>
      <c r="O685" s="1"/>
    </row>
    <row r="686" spans="8:15" ht="12.75" x14ac:dyDescent="0.2">
      <c r="H686" s="1"/>
      <c r="O686" s="1"/>
    </row>
    <row r="687" spans="8:15" ht="12.75" x14ac:dyDescent="0.2">
      <c r="H687" s="1"/>
      <c r="O687" s="1"/>
    </row>
    <row r="688" spans="8:15" ht="12.75" x14ac:dyDescent="0.2">
      <c r="H688" s="1"/>
      <c r="O688" s="1"/>
    </row>
    <row r="689" spans="8:15" ht="12.75" x14ac:dyDescent="0.2">
      <c r="H689" s="1"/>
      <c r="O689" s="1"/>
    </row>
    <row r="690" spans="8:15" ht="12.75" x14ac:dyDescent="0.2">
      <c r="H690" s="1"/>
      <c r="O690" s="1"/>
    </row>
    <row r="691" spans="8:15" ht="12.75" x14ac:dyDescent="0.2">
      <c r="H691" s="1"/>
      <c r="O691" s="1"/>
    </row>
    <row r="692" spans="8:15" ht="12.75" x14ac:dyDescent="0.2">
      <c r="H692" s="1"/>
      <c r="O692" s="1"/>
    </row>
    <row r="693" spans="8:15" ht="12.75" x14ac:dyDescent="0.2">
      <c r="H693" s="1"/>
      <c r="O693" s="1"/>
    </row>
    <row r="694" spans="8:15" ht="12.75" x14ac:dyDescent="0.2">
      <c r="H694" s="1"/>
      <c r="O694" s="1"/>
    </row>
    <row r="695" spans="8:15" ht="12.75" x14ac:dyDescent="0.2">
      <c r="H695" s="1"/>
      <c r="O695" s="1"/>
    </row>
    <row r="696" spans="8:15" ht="12.75" x14ac:dyDescent="0.2">
      <c r="H696" s="1"/>
      <c r="O696" s="1"/>
    </row>
    <row r="697" spans="8:15" ht="12.75" x14ac:dyDescent="0.2">
      <c r="H697" s="1"/>
      <c r="O697" s="1"/>
    </row>
    <row r="698" spans="8:15" ht="12.75" x14ac:dyDescent="0.2">
      <c r="H698" s="1"/>
      <c r="O698" s="1"/>
    </row>
    <row r="699" spans="8:15" ht="12.75" x14ac:dyDescent="0.2">
      <c r="H699" s="1"/>
      <c r="O699" s="1"/>
    </row>
    <row r="700" spans="8:15" ht="12.75" x14ac:dyDescent="0.2">
      <c r="H700" s="1"/>
      <c r="O700" s="1"/>
    </row>
    <row r="701" spans="8:15" ht="12.75" x14ac:dyDescent="0.2">
      <c r="H701" s="1"/>
      <c r="O701" s="1"/>
    </row>
    <row r="702" spans="8:15" ht="12.75" x14ac:dyDescent="0.2">
      <c r="H702" s="1"/>
      <c r="O702" s="1"/>
    </row>
    <row r="703" spans="8:15" ht="12.75" x14ac:dyDescent="0.2">
      <c r="H703" s="1"/>
      <c r="O703" s="1"/>
    </row>
    <row r="704" spans="8:15" ht="12.75" x14ac:dyDescent="0.2">
      <c r="H704" s="1"/>
      <c r="O704" s="1"/>
    </row>
    <row r="705" spans="8:15" ht="12.75" x14ac:dyDescent="0.2">
      <c r="H705" s="1"/>
      <c r="O705" s="1"/>
    </row>
    <row r="706" spans="8:15" ht="12.75" x14ac:dyDescent="0.2">
      <c r="H706" s="1"/>
      <c r="O706" s="1"/>
    </row>
    <row r="707" spans="8:15" ht="12.75" x14ac:dyDescent="0.2">
      <c r="H707" s="1"/>
      <c r="O707" s="1"/>
    </row>
    <row r="708" spans="8:15" ht="12.75" x14ac:dyDescent="0.2">
      <c r="H708" s="1"/>
      <c r="O708" s="1"/>
    </row>
    <row r="709" spans="8:15" ht="12.75" x14ac:dyDescent="0.2">
      <c r="H709" s="1"/>
      <c r="O709" s="1"/>
    </row>
    <row r="710" spans="8:15" ht="12.75" x14ac:dyDescent="0.2">
      <c r="H710" s="1"/>
      <c r="O710" s="1"/>
    </row>
    <row r="711" spans="8:15" ht="12.75" x14ac:dyDescent="0.2">
      <c r="H711" s="1"/>
      <c r="O711" s="1"/>
    </row>
    <row r="712" spans="8:15" ht="12.75" x14ac:dyDescent="0.2">
      <c r="H712" s="1"/>
      <c r="O712" s="1"/>
    </row>
    <row r="713" spans="8:15" ht="12.75" x14ac:dyDescent="0.2">
      <c r="H713" s="1"/>
      <c r="O713" s="1"/>
    </row>
    <row r="714" spans="8:15" ht="12.75" x14ac:dyDescent="0.2">
      <c r="H714" s="1"/>
      <c r="O714" s="1"/>
    </row>
    <row r="715" spans="8:15" ht="12.75" x14ac:dyDescent="0.2">
      <c r="H715" s="1"/>
      <c r="O715" s="1"/>
    </row>
    <row r="716" spans="8:15" ht="12.75" x14ac:dyDescent="0.2">
      <c r="H716" s="1"/>
      <c r="O716" s="1"/>
    </row>
    <row r="717" spans="8:15" ht="12.75" x14ac:dyDescent="0.2">
      <c r="H717" s="1"/>
      <c r="O717" s="1"/>
    </row>
    <row r="718" spans="8:15" ht="12.75" x14ac:dyDescent="0.2">
      <c r="H718" s="1"/>
      <c r="O718" s="1"/>
    </row>
    <row r="719" spans="8:15" ht="12.75" x14ac:dyDescent="0.2">
      <c r="H719" s="1"/>
      <c r="O719" s="1"/>
    </row>
    <row r="720" spans="8:15" ht="12.75" x14ac:dyDescent="0.2">
      <c r="H720" s="1"/>
      <c r="O720" s="1"/>
    </row>
    <row r="721" spans="8:15" ht="12.75" x14ac:dyDescent="0.2">
      <c r="H721" s="1"/>
      <c r="O721" s="1"/>
    </row>
    <row r="722" spans="8:15" ht="12.75" x14ac:dyDescent="0.2">
      <c r="H722" s="1"/>
      <c r="O722" s="1"/>
    </row>
    <row r="723" spans="8:15" ht="12.75" x14ac:dyDescent="0.2">
      <c r="H723" s="1"/>
      <c r="O723" s="1"/>
    </row>
    <row r="724" spans="8:15" ht="12.75" x14ac:dyDescent="0.2">
      <c r="H724" s="1"/>
      <c r="O724" s="1"/>
    </row>
    <row r="725" spans="8:15" ht="12.75" x14ac:dyDescent="0.2">
      <c r="H725" s="1"/>
      <c r="O725" s="1"/>
    </row>
    <row r="726" spans="8:15" ht="12.75" x14ac:dyDescent="0.2">
      <c r="H726" s="1"/>
      <c r="O726" s="1"/>
    </row>
    <row r="727" spans="8:15" ht="12.75" x14ac:dyDescent="0.2">
      <c r="H727" s="1"/>
      <c r="O727" s="1"/>
    </row>
    <row r="728" spans="8:15" ht="12.75" x14ac:dyDescent="0.2">
      <c r="H728" s="1"/>
      <c r="O728" s="1"/>
    </row>
    <row r="729" spans="8:15" ht="12.75" x14ac:dyDescent="0.2">
      <c r="H729" s="1"/>
      <c r="O729" s="1"/>
    </row>
    <row r="730" spans="8:15" ht="12.75" x14ac:dyDescent="0.2">
      <c r="H730" s="1"/>
      <c r="O730" s="1"/>
    </row>
    <row r="731" spans="8:15" ht="12.75" x14ac:dyDescent="0.2">
      <c r="H731" s="1"/>
      <c r="O731" s="1"/>
    </row>
    <row r="732" spans="8:15" ht="12.75" x14ac:dyDescent="0.2">
      <c r="H732" s="1"/>
      <c r="O732" s="1"/>
    </row>
    <row r="733" spans="8:15" ht="12.75" x14ac:dyDescent="0.2">
      <c r="H733" s="1"/>
      <c r="O733" s="1"/>
    </row>
    <row r="734" spans="8:15" ht="12.75" x14ac:dyDescent="0.2">
      <c r="H734" s="1"/>
      <c r="O734" s="1"/>
    </row>
    <row r="735" spans="8:15" ht="12.75" x14ac:dyDescent="0.2">
      <c r="H735" s="1"/>
      <c r="O735" s="1"/>
    </row>
    <row r="736" spans="8:15" ht="12.75" x14ac:dyDescent="0.2">
      <c r="H736" s="1"/>
      <c r="O736" s="1"/>
    </row>
    <row r="737" spans="8:15" ht="12.75" x14ac:dyDescent="0.2">
      <c r="H737" s="1"/>
      <c r="O737" s="1"/>
    </row>
    <row r="738" spans="8:15" ht="12.75" x14ac:dyDescent="0.2">
      <c r="H738" s="1"/>
      <c r="O738" s="1"/>
    </row>
    <row r="739" spans="8:15" ht="12.75" x14ac:dyDescent="0.2">
      <c r="H739" s="1"/>
      <c r="O739" s="1"/>
    </row>
    <row r="740" spans="8:15" ht="12.75" x14ac:dyDescent="0.2">
      <c r="H740" s="1"/>
      <c r="O740" s="1"/>
    </row>
    <row r="741" spans="8:15" ht="12.75" x14ac:dyDescent="0.2">
      <c r="H741" s="1"/>
      <c r="O741" s="1"/>
    </row>
    <row r="742" spans="8:15" ht="12.75" x14ac:dyDescent="0.2">
      <c r="H742" s="1"/>
      <c r="O742" s="1"/>
    </row>
    <row r="743" spans="8:15" ht="12.75" x14ac:dyDescent="0.2">
      <c r="H743" s="1"/>
      <c r="O743" s="1"/>
    </row>
    <row r="744" spans="8:15" ht="12.75" x14ac:dyDescent="0.2">
      <c r="H744" s="1"/>
      <c r="O744" s="1"/>
    </row>
    <row r="745" spans="8:15" ht="12.75" x14ac:dyDescent="0.2">
      <c r="H745" s="1"/>
      <c r="O745" s="1"/>
    </row>
    <row r="746" spans="8:15" ht="12.75" x14ac:dyDescent="0.2">
      <c r="H746" s="1"/>
      <c r="O746" s="1"/>
    </row>
    <row r="747" spans="8:15" ht="12.75" x14ac:dyDescent="0.2">
      <c r="H747" s="1"/>
      <c r="O747" s="1"/>
    </row>
    <row r="748" spans="8:15" ht="12.75" x14ac:dyDescent="0.2">
      <c r="H748" s="1"/>
      <c r="O748" s="1"/>
    </row>
    <row r="749" spans="8:15" ht="12.75" x14ac:dyDescent="0.2">
      <c r="H749" s="1"/>
      <c r="O749" s="1"/>
    </row>
    <row r="750" spans="8:15" ht="12.75" x14ac:dyDescent="0.2">
      <c r="H750" s="1"/>
      <c r="O750" s="1"/>
    </row>
    <row r="751" spans="8:15" ht="12.75" x14ac:dyDescent="0.2">
      <c r="H751" s="1"/>
      <c r="O751" s="1"/>
    </row>
    <row r="752" spans="8:15" ht="12.75" x14ac:dyDescent="0.2">
      <c r="H752" s="1"/>
      <c r="O752" s="1"/>
    </row>
    <row r="753" spans="8:15" ht="12.75" x14ac:dyDescent="0.2">
      <c r="H753" s="1"/>
      <c r="O753" s="1"/>
    </row>
    <row r="754" spans="8:15" ht="12.75" x14ac:dyDescent="0.2">
      <c r="H754" s="1"/>
      <c r="O754" s="1"/>
    </row>
    <row r="755" spans="8:15" ht="12.75" x14ac:dyDescent="0.2">
      <c r="H755" s="1"/>
      <c r="O755" s="1"/>
    </row>
    <row r="756" spans="8:15" ht="12.75" x14ac:dyDescent="0.2">
      <c r="H756" s="1"/>
      <c r="O756" s="1"/>
    </row>
    <row r="757" spans="8:15" ht="12.75" x14ac:dyDescent="0.2">
      <c r="H757" s="1"/>
      <c r="O757" s="1"/>
    </row>
    <row r="758" spans="8:15" ht="12.75" x14ac:dyDescent="0.2">
      <c r="H758" s="1"/>
      <c r="O758" s="1"/>
    </row>
    <row r="759" spans="8:15" ht="12.75" x14ac:dyDescent="0.2">
      <c r="H759" s="1"/>
      <c r="O759" s="1"/>
    </row>
    <row r="760" spans="8:15" ht="12.75" x14ac:dyDescent="0.2">
      <c r="H760" s="1"/>
      <c r="O760" s="1"/>
    </row>
    <row r="761" spans="8:15" ht="12.75" x14ac:dyDescent="0.2">
      <c r="H761" s="1"/>
      <c r="O761" s="1"/>
    </row>
    <row r="762" spans="8:15" ht="12.75" x14ac:dyDescent="0.2">
      <c r="H762" s="1"/>
      <c r="O762" s="1"/>
    </row>
    <row r="763" spans="8:15" ht="12.75" x14ac:dyDescent="0.2">
      <c r="H763" s="1"/>
      <c r="O763" s="1"/>
    </row>
    <row r="764" spans="8:15" ht="12.75" x14ac:dyDescent="0.2">
      <c r="H764" s="1"/>
      <c r="O764" s="1"/>
    </row>
    <row r="765" spans="8:15" ht="12.75" x14ac:dyDescent="0.2">
      <c r="H765" s="1"/>
      <c r="O765" s="1"/>
    </row>
    <row r="766" spans="8:15" ht="12.75" x14ac:dyDescent="0.2">
      <c r="H766" s="1"/>
      <c r="O766" s="1"/>
    </row>
    <row r="767" spans="8:15" ht="12.75" x14ac:dyDescent="0.2">
      <c r="H767" s="1"/>
      <c r="O767" s="1"/>
    </row>
    <row r="768" spans="8:15" ht="12.75" x14ac:dyDescent="0.2">
      <c r="H768" s="1"/>
      <c r="O768" s="1"/>
    </row>
    <row r="769" spans="8:15" ht="12.75" x14ac:dyDescent="0.2">
      <c r="H769" s="1"/>
      <c r="O769" s="1"/>
    </row>
    <row r="770" spans="8:15" ht="12.75" x14ac:dyDescent="0.2">
      <c r="H770" s="1"/>
      <c r="O770" s="1"/>
    </row>
    <row r="771" spans="8:15" ht="12.75" x14ac:dyDescent="0.2">
      <c r="H771" s="1"/>
      <c r="O771" s="1"/>
    </row>
    <row r="772" spans="8:15" ht="12.75" x14ac:dyDescent="0.2">
      <c r="H772" s="1"/>
      <c r="O772" s="1"/>
    </row>
    <row r="773" spans="8:15" ht="12.75" x14ac:dyDescent="0.2">
      <c r="H773" s="1"/>
      <c r="O773" s="1"/>
    </row>
    <row r="774" spans="8:15" ht="12.75" x14ac:dyDescent="0.2">
      <c r="H774" s="1"/>
      <c r="O774" s="1"/>
    </row>
    <row r="775" spans="8:15" ht="12.75" x14ac:dyDescent="0.2">
      <c r="H775" s="1"/>
      <c r="O775" s="1"/>
    </row>
    <row r="776" spans="8:15" ht="12.75" x14ac:dyDescent="0.2">
      <c r="H776" s="1"/>
      <c r="O776" s="1"/>
    </row>
    <row r="777" spans="8:15" ht="12.75" x14ac:dyDescent="0.2">
      <c r="H777" s="1"/>
      <c r="O777" s="1"/>
    </row>
    <row r="778" spans="8:15" ht="12.75" x14ac:dyDescent="0.2">
      <c r="H778" s="1"/>
      <c r="O778" s="1"/>
    </row>
    <row r="779" spans="8:15" ht="12.75" x14ac:dyDescent="0.2">
      <c r="H779" s="1"/>
      <c r="O779" s="1"/>
    </row>
    <row r="780" spans="8:15" ht="12.75" x14ac:dyDescent="0.2">
      <c r="H780" s="1"/>
      <c r="O780" s="1"/>
    </row>
    <row r="781" spans="8:15" ht="12.75" x14ac:dyDescent="0.2">
      <c r="H781" s="1"/>
      <c r="O781" s="1"/>
    </row>
    <row r="782" spans="8:15" ht="12.75" x14ac:dyDescent="0.2">
      <c r="H782" s="1"/>
      <c r="O782" s="1"/>
    </row>
    <row r="783" spans="8:15" ht="12.75" x14ac:dyDescent="0.2">
      <c r="H783" s="1"/>
      <c r="O783" s="1"/>
    </row>
    <row r="784" spans="8:15" ht="12.75" x14ac:dyDescent="0.2">
      <c r="H784" s="1"/>
      <c r="O784" s="1"/>
    </row>
    <row r="785" spans="8:15" ht="12.75" x14ac:dyDescent="0.2">
      <c r="H785" s="1"/>
      <c r="O785" s="1"/>
    </row>
    <row r="786" spans="8:15" ht="12.75" x14ac:dyDescent="0.2">
      <c r="H786" s="1"/>
      <c r="O786" s="1"/>
    </row>
    <row r="787" spans="8:15" ht="12.75" x14ac:dyDescent="0.2">
      <c r="H787" s="1"/>
      <c r="O787" s="1"/>
    </row>
    <row r="788" spans="8:15" ht="12.75" x14ac:dyDescent="0.2">
      <c r="H788" s="1"/>
      <c r="O788" s="1"/>
    </row>
    <row r="789" spans="8:15" ht="12.75" x14ac:dyDescent="0.2">
      <c r="H789" s="1"/>
      <c r="O789" s="1"/>
    </row>
    <row r="790" spans="8:15" ht="12.75" x14ac:dyDescent="0.2">
      <c r="H790" s="1"/>
      <c r="O790" s="1"/>
    </row>
    <row r="791" spans="8:15" ht="12.75" x14ac:dyDescent="0.2">
      <c r="H791" s="1"/>
      <c r="O791" s="1"/>
    </row>
    <row r="792" spans="8:15" ht="12.75" x14ac:dyDescent="0.2">
      <c r="H792" s="1"/>
      <c r="O792" s="1"/>
    </row>
    <row r="793" spans="8:15" ht="12.75" x14ac:dyDescent="0.2">
      <c r="H793" s="1"/>
      <c r="O793" s="1"/>
    </row>
    <row r="794" spans="8:15" ht="12.75" x14ac:dyDescent="0.2">
      <c r="H794" s="1"/>
      <c r="O794" s="1"/>
    </row>
    <row r="795" spans="8:15" ht="12.75" x14ac:dyDescent="0.2">
      <c r="H795" s="1"/>
      <c r="O795" s="1"/>
    </row>
    <row r="796" spans="8:15" ht="12.75" x14ac:dyDescent="0.2">
      <c r="H796" s="1"/>
      <c r="O796" s="1"/>
    </row>
    <row r="797" spans="8:15" ht="12.75" x14ac:dyDescent="0.2">
      <c r="H797" s="1"/>
      <c r="O797" s="1"/>
    </row>
    <row r="798" spans="8:15" ht="12.75" x14ac:dyDescent="0.2">
      <c r="H798" s="1"/>
      <c r="O798" s="1"/>
    </row>
    <row r="799" spans="8:15" ht="12.75" x14ac:dyDescent="0.2">
      <c r="H799" s="1"/>
      <c r="O799" s="1"/>
    </row>
    <row r="800" spans="8:15" ht="12.75" x14ac:dyDescent="0.2">
      <c r="H800" s="1"/>
      <c r="O800" s="1"/>
    </row>
    <row r="801" spans="8:15" ht="12.75" x14ac:dyDescent="0.2">
      <c r="H801" s="1"/>
      <c r="O801" s="1"/>
    </row>
    <row r="802" spans="8:15" ht="12.75" x14ac:dyDescent="0.2">
      <c r="H802" s="1"/>
      <c r="O802" s="1"/>
    </row>
    <row r="803" spans="8:15" ht="12.75" x14ac:dyDescent="0.2">
      <c r="H803" s="1"/>
      <c r="O803" s="1"/>
    </row>
    <row r="804" spans="8:15" ht="12.75" x14ac:dyDescent="0.2">
      <c r="H804" s="1"/>
      <c r="O804" s="1"/>
    </row>
    <row r="805" spans="8:15" ht="12.75" x14ac:dyDescent="0.2">
      <c r="H805" s="1"/>
      <c r="O805" s="1"/>
    </row>
    <row r="806" spans="8:15" ht="12.75" x14ac:dyDescent="0.2">
      <c r="H806" s="1"/>
      <c r="O806" s="1"/>
    </row>
    <row r="807" spans="8:15" ht="12.75" x14ac:dyDescent="0.2">
      <c r="H807" s="1"/>
      <c r="O807" s="1"/>
    </row>
    <row r="808" spans="8:15" ht="12.75" x14ac:dyDescent="0.2">
      <c r="H808" s="1"/>
      <c r="O808" s="1"/>
    </row>
    <row r="809" spans="8:15" ht="12.75" x14ac:dyDescent="0.2">
      <c r="H809" s="1"/>
      <c r="O809" s="1"/>
    </row>
    <row r="810" spans="8:15" ht="12.75" x14ac:dyDescent="0.2">
      <c r="H810" s="1"/>
      <c r="O810" s="1"/>
    </row>
    <row r="811" spans="8:15" ht="12.75" x14ac:dyDescent="0.2">
      <c r="H811" s="1"/>
      <c r="O811" s="1"/>
    </row>
    <row r="812" spans="8:15" ht="12.75" x14ac:dyDescent="0.2">
      <c r="H812" s="1"/>
      <c r="O812" s="1"/>
    </row>
    <row r="813" spans="8:15" ht="12.75" x14ac:dyDescent="0.2">
      <c r="H813" s="1"/>
      <c r="O813" s="1"/>
    </row>
    <row r="814" spans="8:15" ht="12.75" x14ac:dyDescent="0.2">
      <c r="H814" s="1"/>
      <c r="O814" s="1"/>
    </row>
    <row r="815" spans="8:15" ht="12.75" x14ac:dyDescent="0.2">
      <c r="H815" s="1"/>
      <c r="O815" s="1"/>
    </row>
    <row r="816" spans="8:15" ht="12.75" x14ac:dyDescent="0.2">
      <c r="H816" s="1"/>
      <c r="O816" s="1"/>
    </row>
    <row r="817" spans="8:15" ht="12.75" x14ac:dyDescent="0.2">
      <c r="H817" s="1"/>
      <c r="O817" s="1"/>
    </row>
    <row r="818" spans="8:15" ht="12.75" x14ac:dyDescent="0.2">
      <c r="H818" s="1"/>
      <c r="O818" s="1"/>
    </row>
    <row r="819" spans="8:15" ht="12.75" x14ac:dyDescent="0.2">
      <c r="H819" s="1"/>
      <c r="O819" s="1"/>
    </row>
    <row r="820" spans="8:15" ht="12.75" x14ac:dyDescent="0.2">
      <c r="H820" s="1"/>
      <c r="O820" s="1"/>
    </row>
    <row r="821" spans="8:15" ht="12.75" x14ac:dyDescent="0.2">
      <c r="H821" s="1"/>
      <c r="O821" s="1"/>
    </row>
    <row r="822" spans="8:15" ht="12.75" x14ac:dyDescent="0.2">
      <c r="H822" s="1"/>
      <c r="O822" s="1"/>
    </row>
    <row r="823" spans="8:15" ht="12.75" x14ac:dyDescent="0.2">
      <c r="H823" s="1"/>
      <c r="O823" s="1"/>
    </row>
    <row r="824" spans="8:15" ht="12.75" x14ac:dyDescent="0.2">
      <c r="H824" s="1"/>
      <c r="O824" s="1"/>
    </row>
    <row r="825" spans="8:15" ht="12.75" x14ac:dyDescent="0.2">
      <c r="H825" s="1"/>
      <c r="O825" s="1"/>
    </row>
    <row r="826" spans="8:15" ht="12.75" x14ac:dyDescent="0.2">
      <c r="H826" s="1"/>
      <c r="O826" s="1"/>
    </row>
    <row r="827" spans="8:15" ht="12.75" x14ac:dyDescent="0.2">
      <c r="H827" s="1"/>
      <c r="O827" s="1"/>
    </row>
    <row r="828" spans="8:15" ht="12.75" x14ac:dyDescent="0.2">
      <c r="H828" s="1"/>
      <c r="O828" s="1"/>
    </row>
    <row r="829" spans="8:15" ht="12.75" x14ac:dyDescent="0.2">
      <c r="H829" s="1"/>
      <c r="O829" s="1"/>
    </row>
    <row r="830" spans="8:15" ht="12.75" x14ac:dyDescent="0.2">
      <c r="H830" s="1"/>
      <c r="O830" s="1"/>
    </row>
    <row r="831" spans="8:15" ht="12.75" x14ac:dyDescent="0.2">
      <c r="H831" s="1"/>
      <c r="O831" s="1"/>
    </row>
    <row r="832" spans="8:15" ht="12.75" x14ac:dyDescent="0.2">
      <c r="H832" s="1"/>
      <c r="O832" s="1"/>
    </row>
    <row r="833" spans="8:15" ht="12.75" x14ac:dyDescent="0.2">
      <c r="H833" s="1"/>
      <c r="O833" s="1"/>
    </row>
    <row r="834" spans="8:15" ht="12.75" x14ac:dyDescent="0.2">
      <c r="H834" s="1"/>
      <c r="O834" s="1"/>
    </row>
    <row r="835" spans="8:15" ht="12.75" x14ac:dyDescent="0.2">
      <c r="H835" s="1"/>
      <c r="O835" s="1"/>
    </row>
    <row r="836" spans="8:15" ht="12.75" x14ac:dyDescent="0.2">
      <c r="H836" s="1"/>
      <c r="O836" s="1"/>
    </row>
    <row r="837" spans="8:15" ht="12.75" x14ac:dyDescent="0.2">
      <c r="H837" s="1"/>
      <c r="O837" s="1"/>
    </row>
    <row r="838" spans="8:15" ht="12.75" x14ac:dyDescent="0.2">
      <c r="H838" s="1"/>
      <c r="O838" s="1"/>
    </row>
    <row r="839" spans="8:15" ht="12.75" x14ac:dyDescent="0.2">
      <c r="H839" s="1"/>
      <c r="O839" s="1"/>
    </row>
    <row r="840" spans="8:15" ht="12.75" x14ac:dyDescent="0.2">
      <c r="H840" s="1"/>
      <c r="O840" s="1"/>
    </row>
    <row r="841" spans="8:15" ht="12.75" x14ac:dyDescent="0.2">
      <c r="H841" s="1"/>
      <c r="O841" s="1"/>
    </row>
    <row r="842" spans="8:15" ht="12.75" x14ac:dyDescent="0.2">
      <c r="H842" s="1"/>
      <c r="O842" s="1"/>
    </row>
    <row r="843" spans="8:15" ht="12.75" x14ac:dyDescent="0.2">
      <c r="H843" s="1"/>
      <c r="O843" s="1"/>
    </row>
    <row r="844" spans="8:15" ht="12.75" x14ac:dyDescent="0.2">
      <c r="H844" s="1"/>
      <c r="O844" s="1"/>
    </row>
    <row r="845" spans="8:15" ht="12.75" x14ac:dyDescent="0.2">
      <c r="H845" s="1"/>
      <c r="O845" s="1"/>
    </row>
    <row r="846" spans="8:15" ht="12.75" x14ac:dyDescent="0.2">
      <c r="H846" s="1"/>
      <c r="O846" s="1"/>
    </row>
    <row r="847" spans="8:15" ht="12.75" x14ac:dyDescent="0.2">
      <c r="H847" s="1"/>
      <c r="O847" s="1"/>
    </row>
    <row r="848" spans="8:15" ht="12.75" x14ac:dyDescent="0.2">
      <c r="H848" s="1"/>
      <c r="O848" s="1"/>
    </row>
    <row r="849" spans="8:15" ht="12.75" x14ac:dyDescent="0.2">
      <c r="H849" s="1"/>
      <c r="O849" s="1"/>
    </row>
    <row r="850" spans="8:15" ht="12.75" x14ac:dyDescent="0.2">
      <c r="H850" s="1"/>
      <c r="O850" s="1"/>
    </row>
    <row r="851" spans="8:15" ht="12.75" x14ac:dyDescent="0.2">
      <c r="H851" s="1"/>
      <c r="O851" s="1"/>
    </row>
    <row r="852" spans="8:15" ht="12.75" x14ac:dyDescent="0.2">
      <c r="H852" s="1"/>
      <c r="O852" s="1"/>
    </row>
    <row r="853" spans="8:15" ht="12.75" x14ac:dyDescent="0.2">
      <c r="H853" s="1"/>
      <c r="O853" s="1"/>
    </row>
    <row r="854" spans="8:15" ht="12.75" x14ac:dyDescent="0.2">
      <c r="H854" s="1"/>
      <c r="O854" s="1"/>
    </row>
    <row r="855" spans="8:15" ht="12.75" x14ac:dyDescent="0.2">
      <c r="H855" s="1"/>
      <c r="O855" s="1"/>
    </row>
    <row r="856" spans="8:15" ht="12.75" x14ac:dyDescent="0.2">
      <c r="H856" s="1"/>
      <c r="O856" s="1"/>
    </row>
    <row r="857" spans="8:15" ht="12.75" x14ac:dyDescent="0.2">
      <c r="H857" s="1"/>
      <c r="O857" s="1"/>
    </row>
    <row r="858" spans="8:15" ht="12.75" x14ac:dyDescent="0.2">
      <c r="H858" s="1"/>
      <c r="O858" s="1"/>
    </row>
    <row r="859" spans="8:15" ht="12.75" x14ac:dyDescent="0.2">
      <c r="H859" s="1"/>
      <c r="O859" s="1"/>
    </row>
    <row r="860" spans="8:15" ht="12.75" x14ac:dyDescent="0.2">
      <c r="H860" s="1"/>
      <c r="O860" s="1"/>
    </row>
    <row r="861" spans="8:15" ht="12.75" x14ac:dyDescent="0.2">
      <c r="H861" s="1"/>
      <c r="O861" s="1"/>
    </row>
    <row r="862" spans="8:15" ht="12.75" x14ac:dyDescent="0.2">
      <c r="H862" s="1"/>
      <c r="O862" s="1"/>
    </row>
    <row r="863" spans="8:15" ht="12.75" x14ac:dyDescent="0.2">
      <c r="H863" s="1"/>
      <c r="O863" s="1"/>
    </row>
    <row r="864" spans="8:15" ht="12.75" x14ac:dyDescent="0.2">
      <c r="H864" s="1"/>
      <c r="O864" s="1"/>
    </row>
    <row r="865" spans="8:15" ht="12.75" x14ac:dyDescent="0.2">
      <c r="H865" s="1"/>
      <c r="O865" s="1"/>
    </row>
    <row r="866" spans="8:15" ht="12.75" x14ac:dyDescent="0.2">
      <c r="H866" s="1"/>
      <c r="O866" s="1"/>
    </row>
    <row r="867" spans="8:15" ht="12.75" x14ac:dyDescent="0.2">
      <c r="H867" s="1"/>
      <c r="O867" s="1"/>
    </row>
    <row r="868" spans="8:15" ht="12.75" x14ac:dyDescent="0.2">
      <c r="H868" s="1"/>
      <c r="O868" s="1"/>
    </row>
    <row r="869" spans="8:15" ht="12.75" x14ac:dyDescent="0.2">
      <c r="H869" s="1"/>
      <c r="O869" s="1"/>
    </row>
    <row r="870" spans="8:15" ht="12.75" x14ac:dyDescent="0.2">
      <c r="H870" s="1"/>
      <c r="O870" s="1"/>
    </row>
    <row r="871" spans="8:15" ht="12.75" x14ac:dyDescent="0.2">
      <c r="H871" s="1"/>
      <c r="O871" s="1"/>
    </row>
    <row r="872" spans="8:15" ht="12.75" x14ac:dyDescent="0.2">
      <c r="H872" s="1"/>
      <c r="O872" s="1"/>
    </row>
    <row r="873" spans="8:15" ht="12.75" x14ac:dyDescent="0.2">
      <c r="H873" s="1"/>
      <c r="O873" s="1"/>
    </row>
    <row r="874" spans="8:15" ht="12.75" x14ac:dyDescent="0.2">
      <c r="H874" s="1"/>
      <c r="O874" s="1"/>
    </row>
    <row r="875" spans="8:15" ht="12.75" x14ac:dyDescent="0.2">
      <c r="H875" s="1"/>
      <c r="O875" s="1"/>
    </row>
    <row r="876" spans="8:15" ht="12.75" x14ac:dyDescent="0.2">
      <c r="H876" s="1"/>
      <c r="O876" s="1"/>
    </row>
    <row r="877" spans="8:15" ht="12.75" x14ac:dyDescent="0.2">
      <c r="H877" s="1"/>
      <c r="O877" s="1"/>
    </row>
    <row r="878" spans="8:15" ht="12.75" x14ac:dyDescent="0.2">
      <c r="H878" s="1"/>
      <c r="O878" s="1"/>
    </row>
    <row r="879" spans="8:15" ht="12.75" x14ac:dyDescent="0.2">
      <c r="H879" s="1"/>
      <c r="O879" s="1"/>
    </row>
    <row r="880" spans="8:15" ht="12.75" x14ac:dyDescent="0.2">
      <c r="H880" s="1"/>
      <c r="O880" s="1"/>
    </row>
    <row r="881" spans="8:15" ht="12.75" x14ac:dyDescent="0.2">
      <c r="H881" s="1"/>
      <c r="O881" s="1"/>
    </row>
    <row r="882" spans="8:15" ht="12.75" x14ac:dyDescent="0.2">
      <c r="H882" s="1"/>
      <c r="O882" s="1"/>
    </row>
    <row r="883" spans="8:15" ht="12.75" x14ac:dyDescent="0.2">
      <c r="H883" s="1"/>
      <c r="O883" s="1"/>
    </row>
    <row r="884" spans="8:15" ht="12.75" x14ac:dyDescent="0.2">
      <c r="H884" s="1"/>
      <c r="O884" s="1"/>
    </row>
    <row r="885" spans="8:15" ht="12.75" x14ac:dyDescent="0.2">
      <c r="H885" s="1"/>
      <c r="O885" s="1"/>
    </row>
    <row r="886" spans="8:15" ht="12.75" x14ac:dyDescent="0.2">
      <c r="H886" s="1"/>
      <c r="O886" s="1"/>
    </row>
    <row r="887" spans="8:15" ht="12.75" x14ac:dyDescent="0.2">
      <c r="H887" s="1"/>
      <c r="O887" s="1"/>
    </row>
    <row r="888" spans="8:15" ht="12.75" x14ac:dyDescent="0.2">
      <c r="H888" s="1"/>
      <c r="O888" s="1"/>
    </row>
    <row r="889" spans="8:15" ht="12.75" x14ac:dyDescent="0.2">
      <c r="H889" s="1"/>
      <c r="O889" s="1"/>
    </row>
    <row r="890" spans="8:15" ht="12.75" x14ac:dyDescent="0.2">
      <c r="H890" s="1"/>
      <c r="O890" s="1"/>
    </row>
    <row r="891" spans="8:15" ht="12.75" x14ac:dyDescent="0.2">
      <c r="H891" s="1"/>
      <c r="O891" s="1"/>
    </row>
    <row r="892" spans="8:15" ht="12.75" x14ac:dyDescent="0.2">
      <c r="H892" s="1"/>
      <c r="O892" s="1"/>
    </row>
    <row r="893" spans="8:15" ht="12.75" x14ac:dyDescent="0.2">
      <c r="H893" s="1"/>
      <c r="O893" s="1"/>
    </row>
    <row r="894" spans="8:15" ht="12.75" x14ac:dyDescent="0.2">
      <c r="H894" s="1"/>
      <c r="O894" s="1"/>
    </row>
    <row r="895" spans="8:15" ht="12.75" x14ac:dyDescent="0.2">
      <c r="H895" s="1"/>
      <c r="O895" s="1"/>
    </row>
    <row r="896" spans="8:15" ht="12.75" x14ac:dyDescent="0.2">
      <c r="H896" s="1"/>
      <c r="O896" s="1"/>
    </row>
    <row r="897" spans="8:15" ht="12.75" x14ac:dyDescent="0.2">
      <c r="H897" s="1"/>
      <c r="O897" s="1"/>
    </row>
    <row r="898" spans="8:15" ht="12.75" x14ac:dyDescent="0.2">
      <c r="H898" s="1"/>
      <c r="O898" s="1"/>
    </row>
    <row r="899" spans="8:15" ht="12.75" x14ac:dyDescent="0.2">
      <c r="H899" s="1"/>
      <c r="O899" s="1"/>
    </row>
    <row r="900" spans="8:15" ht="12.75" x14ac:dyDescent="0.2">
      <c r="H900" s="1"/>
      <c r="O900" s="1"/>
    </row>
    <row r="901" spans="8:15" ht="12.75" x14ac:dyDescent="0.2">
      <c r="H901" s="1"/>
      <c r="O901" s="1"/>
    </row>
    <row r="902" spans="8:15" ht="12.75" x14ac:dyDescent="0.2">
      <c r="H902" s="1"/>
      <c r="O902" s="1"/>
    </row>
    <row r="903" spans="8:15" ht="12.75" x14ac:dyDescent="0.2">
      <c r="H903" s="1"/>
      <c r="O903" s="1"/>
    </row>
    <row r="904" spans="8:15" ht="12.75" x14ac:dyDescent="0.2">
      <c r="H904" s="1"/>
      <c r="O904" s="1"/>
    </row>
    <row r="905" spans="8:15" ht="12.75" x14ac:dyDescent="0.2">
      <c r="H905" s="1"/>
      <c r="O905" s="1"/>
    </row>
    <row r="906" spans="8:15" ht="12.75" x14ac:dyDescent="0.2">
      <c r="H906" s="1"/>
      <c r="O906" s="1"/>
    </row>
    <row r="907" spans="8:15" ht="12.75" x14ac:dyDescent="0.2">
      <c r="H907" s="1"/>
      <c r="O907" s="1"/>
    </row>
    <row r="908" spans="8:15" ht="12.75" x14ac:dyDescent="0.2">
      <c r="H908" s="1"/>
      <c r="O908" s="1"/>
    </row>
    <row r="909" spans="8:15" ht="12.75" x14ac:dyDescent="0.2">
      <c r="H909" s="1"/>
      <c r="O909" s="1"/>
    </row>
    <row r="910" spans="8:15" ht="12.75" x14ac:dyDescent="0.2">
      <c r="H910" s="1"/>
      <c r="O910" s="1"/>
    </row>
    <row r="911" spans="8:15" ht="12.75" x14ac:dyDescent="0.2">
      <c r="H911" s="1"/>
      <c r="O911" s="1"/>
    </row>
    <row r="912" spans="8:15" ht="12.75" x14ac:dyDescent="0.2">
      <c r="H912" s="1"/>
      <c r="O912" s="1"/>
    </row>
    <row r="913" spans="8:15" ht="12.75" x14ac:dyDescent="0.2">
      <c r="H913" s="1"/>
      <c r="O913" s="1"/>
    </row>
    <row r="914" spans="8:15" ht="12.75" x14ac:dyDescent="0.2">
      <c r="H914" s="1"/>
      <c r="O914" s="1"/>
    </row>
    <row r="915" spans="8:15" ht="12.75" x14ac:dyDescent="0.2">
      <c r="H915" s="1"/>
      <c r="O915" s="1"/>
    </row>
    <row r="916" spans="8:15" ht="12.75" x14ac:dyDescent="0.2">
      <c r="H916" s="1"/>
      <c r="O916" s="1"/>
    </row>
    <row r="917" spans="8:15" ht="12.75" x14ac:dyDescent="0.2">
      <c r="H917" s="1"/>
      <c r="O917" s="1"/>
    </row>
    <row r="918" spans="8:15" ht="12.75" x14ac:dyDescent="0.2">
      <c r="H918" s="1"/>
      <c r="O918" s="1"/>
    </row>
    <row r="919" spans="8:15" ht="12.75" x14ac:dyDescent="0.2">
      <c r="H919" s="1"/>
      <c r="O919" s="1"/>
    </row>
    <row r="920" spans="8:15" ht="12.75" x14ac:dyDescent="0.2">
      <c r="H920" s="1"/>
      <c r="O920" s="1"/>
    </row>
    <row r="921" spans="8:15" ht="12.75" x14ac:dyDescent="0.2">
      <c r="H921" s="1"/>
      <c r="O921" s="1"/>
    </row>
    <row r="922" spans="8:15" ht="12.75" x14ac:dyDescent="0.2">
      <c r="H922" s="1"/>
      <c r="O922" s="1"/>
    </row>
    <row r="923" spans="8:15" ht="12.75" x14ac:dyDescent="0.2">
      <c r="H923" s="1"/>
      <c r="O923" s="1"/>
    </row>
    <row r="924" spans="8:15" ht="12.75" x14ac:dyDescent="0.2">
      <c r="H924" s="1"/>
      <c r="O924" s="1"/>
    </row>
    <row r="925" spans="8:15" ht="12.75" x14ac:dyDescent="0.2">
      <c r="H925" s="1"/>
      <c r="O925" s="1"/>
    </row>
    <row r="926" spans="8:15" ht="12.75" x14ac:dyDescent="0.2">
      <c r="H926" s="1"/>
      <c r="O926" s="1"/>
    </row>
    <row r="927" spans="8:15" ht="12.75" x14ac:dyDescent="0.2">
      <c r="H927" s="1"/>
      <c r="O927" s="1"/>
    </row>
    <row r="928" spans="8:15" ht="12.75" x14ac:dyDescent="0.2">
      <c r="H928" s="1"/>
      <c r="O928" s="1"/>
    </row>
    <row r="929" spans="8:15" ht="12.75" x14ac:dyDescent="0.2">
      <c r="H929" s="1"/>
      <c r="O929" s="1"/>
    </row>
    <row r="930" spans="8:15" ht="12.75" x14ac:dyDescent="0.2">
      <c r="H930" s="1"/>
      <c r="O930" s="1"/>
    </row>
    <row r="931" spans="8:15" ht="12.75" x14ac:dyDescent="0.2">
      <c r="H931" s="1"/>
      <c r="O931" s="1"/>
    </row>
    <row r="932" spans="8:15" ht="12.75" x14ac:dyDescent="0.2">
      <c r="H932" s="1"/>
      <c r="O932" s="1"/>
    </row>
    <row r="933" spans="8:15" ht="12.75" x14ac:dyDescent="0.2">
      <c r="H933" s="1"/>
      <c r="O933" s="1"/>
    </row>
    <row r="934" spans="8:15" ht="12.75" x14ac:dyDescent="0.2">
      <c r="H934" s="1"/>
      <c r="O934" s="1"/>
    </row>
    <row r="935" spans="8:15" ht="12.75" x14ac:dyDescent="0.2">
      <c r="H935" s="1"/>
      <c r="O935" s="1"/>
    </row>
    <row r="936" spans="8:15" ht="12.75" x14ac:dyDescent="0.2">
      <c r="H936" s="1"/>
      <c r="O936" s="1"/>
    </row>
    <row r="937" spans="8:15" ht="12.75" x14ac:dyDescent="0.2">
      <c r="H937" s="1"/>
      <c r="O937" s="1"/>
    </row>
    <row r="938" spans="8:15" ht="12.75" x14ac:dyDescent="0.2">
      <c r="H938" s="1"/>
      <c r="O938" s="1"/>
    </row>
    <row r="939" spans="8:15" ht="12.75" x14ac:dyDescent="0.2">
      <c r="H939" s="1"/>
      <c r="O939" s="1"/>
    </row>
    <row r="940" spans="8:15" ht="12.75" x14ac:dyDescent="0.2">
      <c r="H940" s="1"/>
      <c r="O940" s="1"/>
    </row>
    <row r="941" spans="8:15" ht="12.75" x14ac:dyDescent="0.2">
      <c r="H941" s="1"/>
      <c r="O941" s="1"/>
    </row>
    <row r="942" spans="8:15" ht="12.75" x14ac:dyDescent="0.2">
      <c r="H942" s="1"/>
      <c r="O942" s="1"/>
    </row>
    <row r="943" spans="8:15" ht="12.75" x14ac:dyDescent="0.2">
      <c r="H943" s="1"/>
      <c r="O943" s="1"/>
    </row>
    <row r="944" spans="8:15" ht="12.75" x14ac:dyDescent="0.2">
      <c r="H944" s="1"/>
      <c r="O944" s="1"/>
    </row>
    <row r="945" spans="8:15" ht="12.75" x14ac:dyDescent="0.2">
      <c r="H945" s="1"/>
      <c r="O945" s="1"/>
    </row>
    <row r="946" spans="8:15" ht="12.75" x14ac:dyDescent="0.2">
      <c r="H946" s="1"/>
      <c r="O946" s="1"/>
    </row>
    <row r="947" spans="8:15" ht="12.75" x14ac:dyDescent="0.2">
      <c r="H947" s="1"/>
      <c r="O947" s="1"/>
    </row>
    <row r="948" spans="8:15" ht="12.75" x14ac:dyDescent="0.2">
      <c r="H948" s="1"/>
      <c r="O948" s="1"/>
    </row>
    <row r="949" spans="8:15" ht="12.75" x14ac:dyDescent="0.2">
      <c r="H949" s="1"/>
      <c r="O949" s="1"/>
    </row>
    <row r="950" spans="8:15" ht="12.75" x14ac:dyDescent="0.2">
      <c r="H950" s="1"/>
      <c r="O950" s="1"/>
    </row>
    <row r="951" spans="8:15" ht="12.75" x14ac:dyDescent="0.2">
      <c r="H951" s="1"/>
      <c r="O951" s="1"/>
    </row>
    <row r="952" spans="8:15" ht="12.75" x14ac:dyDescent="0.2">
      <c r="H952" s="1"/>
      <c r="O952" s="1"/>
    </row>
    <row r="953" spans="8:15" ht="12.75" x14ac:dyDescent="0.2">
      <c r="H953" s="1"/>
      <c r="O953" s="1"/>
    </row>
    <row r="954" spans="8:15" ht="12.75" x14ac:dyDescent="0.2">
      <c r="H954" s="1"/>
      <c r="O954" s="1"/>
    </row>
    <row r="955" spans="8:15" ht="12.75" x14ac:dyDescent="0.2">
      <c r="H955" s="1"/>
      <c r="O955" s="1"/>
    </row>
    <row r="956" spans="8:15" ht="12.75" x14ac:dyDescent="0.2">
      <c r="H956" s="1"/>
      <c r="O956" s="1"/>
    </row>
    <row r="957" spans="8:15" ht="12.75" x14ac:dyDescent="0.2">
      <c r="H957" s="1"/>
      <c r="O957" s="1"/>
    </row>
    <row r="958" spans="8:15" ht="12.75" x14ac:dyDescent="0.2">
      <c r="H958" s="1"/>
      <c r="O958" s="1"/>
    </row>
    <row r="959" spans="8:15" ht="12.75" x14ac:dyDescent="0.2">
      <c r="H959" s="1"/>
      <c r="O959" s="1"/>
    </row>
    <row r="960" spans="8:15" ht="12.75" x14ac:dyDescent="0.2">
      <c r="H960" s="1"/>
      <c r="O960" s="1"/>
    </row>
    <row r="961" spans="8:15" ht="12.75" x14ac:dyDescent="0.2">
      <c r="H961" s="1"/>
      <c r="O961" s="1"/>
    </row>
    <row r="962" spans="8:15" ht="12.75" x14ac:dyDescent="0.2">
      <c r="H962" s="1"/>
      <c r="O962" s="1"/>
    </row>
    <row r="963" spans="8:15" ht="12.75" x14ac:dyDescent="0.2">
      <c r="H963" s="1"/>
      <c r="O963" s="1"/>
    </row>
    <row r="964" spans="8:15" ht="12.75" x14ac:dyDescent="0.2">
      <c r="H964" s="1"/>
      <c r="O964" s="1"/>
    </row>
    <row r="965" spans="8:15" ht="12.75" x14ac:dyDescent="0.2">
      <c r="H965" s="1"/>
      <c r="O965" s="1"/>
    </row>
    <row r="966" spans="8:15" ht="12.75" x14ac:dyDescent="0.2">
      <c r="H966" s="1"/>
      <c r="O966" s="1"/>
    </row>
    <row r="967" spans="8:15" ht="12.75" x14ac:dyDescent="0.2">
      <c r="H967" s="1"/>
      <c r="O967" s="1"/>
    </row>
    <row r="968" spans="8:15" ht="12.75" x14ac:dyDescent="0.2">
      <c r="H968" s="1"/>
      <c r="O968" s="1"/>
    </row>
    <row r="969" spans="8:15" ht="12.75" x14ac:dyDescent="0.2">
      <c r="H969" s="1"/>
      <c r="O969" s="1"/>
    </row>
    <row r="970" spans="8:15" ht="12.75" x14ac:dyDescent="0.2">
      <c r="H970" s="1"/>
      <c r="O970" s="1"/>
    </row>
    <row r="971" spans="8:15" ht="12.75" x14ac:dyDescent="0.2">
      <c r="H971" s="1"/>
      <c r="O971" s="1"/>
    </row>
    <row r="972" spans="8:15" ht="12.75" x14ac:dyDescent="0.2">
      <c r="H972" s="1"/>
      <c r="O972" s="1"/>
    </row>
    <row r="973" spans="8:15" ht="12.75" x14ac:dyDescent="0.2">
      <c r="H973" s="1"/>
      <c r="O973" s="1"/>
    </row>
    <row r="974" spans="8:15" ht="12.75" x14ac:dyDescent="0.2">
      <c r="H974" s="1"/>
      <c r="O974" s="1"/>
    </row>
    <row r="975" spans="8:15" ht="12.75" x14ac:dyDescent="0.2">
      <c r="H975" s="1"/>
      <c r="O975" s="1"/>
    </row>
    <row r="976" spans="8:15" ht="12.75" x14ac:dyDescent="0.2">
      <c r="H976" s="1"/>
      <c r="O976" s="1"/>
    </row>
    <row r="977" spans="8:15" ht="12.75" x14ac:dyDescent="0.2">
      <c r="H977" s="1"/>
      <c r="O977" s="1"/>
    </row>
    <row r="978" spans="8:15" ht="12.75" x14ac:dyDescent="0.2">
      <c r="H978" s="1"/>
      <c r="O978" s="1"/>
    </row>
    <row r="979" spans="8:15" ht="12.75" x14ac:dyDescent="0.2">
      <c r="H979" s="1"/>
      <c r="O979" s="1"/>
    </row>
    <row r="980" spans="8:15" ht="12.75" x14ac:dyDescent="0.2">
      <c r="H980" s="1"/>
      <c r="O980" s="1"/>
    </row>
    <row r="981" spans="8:15" ht="12.75" x14ac:dyDescent="0.2">
      <c r="H981" s="1"/>
      <c r="O981" s="1"/>
    </row>
    <row r="982" spans="8:15" ht="12.75" x14ac:dyDescent="0.2">
      <c r="H982" s="1"/>
      <c r="O982" s="1"/>
    </row>
    <row r="983" spans="8:15" ht="12.75" x14ac:dyDescent="0.2">
      <c r="H983" s="1"/>
      <c r="O983" s="1"/>
    </row>
    <row r="984" spans="8:15" ht="12.75" x14ac:dyDescent="0.2">
      <c r="H984" s="1"/>
      <c r="O984" s="1"/>
    </row>
    <row r="985" spans="8:15" ht="12.75" x14ac:dyDescent="0.2">
      <c r="H985" s="1"/>
      <c r="O985" s="1"/>
    </row>
    <row r="986" spans="8:15" ht="12.75" x14ac:dyDescent="0.2">
      <c r="H986" s="1"/>
      <c r="O986" s="1"/>
    </row>
    <row r="987" spans="8:15" ht="12.75" x14ac:dyDescent="0.2">
      <c r="H987" s="1"/>
      <c r="O987" s="1"/>
    </row>
    <row r="988" spans="8:15" ht="12.75" x14ac:dyDescent="0.2">
      <c r="H988" s="1"/>
      <c r="O988" s="1"/>
    </row>
    <row r="989" spans="8:15" ht="12.75" x14ac:dyDescent="0.2">
      <c r="H989" s="1"/>
      <c r="O989" s="1"/>
    </row>
    <row r="990" spans="8:15" ht="12.75" x14ac:dyDescent="0.2">
      <c r="H990" s="1"/>
      <c r="O990" s="1"/>
    </row>
    <row r="991" spans="8:15" ht="12.75" x14ac:dyDescent="0.2">
      <c r="H991" s="1"/>
      <c r="O991" s="1"/>
    </row>
    <row r="992" spans="8:15" ht="12.75" x14ac:dyDescent="0.2">
      <c r="H992" s="1"/>
      <c r="O992" s="1"/>
    </row>
    <row r="993" spans="8:15" ht="12.75" x14ac:dyDescent="0.2">
      <c r="H993" s="1"/>
      <c r="O993" s="1"/>
    </row>
    <row r="994" spans="8:15" ht="12.75" x14ac:dyDescent="0.2">
      <c r="H994" s="1"/>
      <c r="O994" s="1"/>
    </row>
    <row r="995" spans="8:15" ht="12.75" x14ac:dyDescent="0.2">
      <c r="H995" s="1"/>
      <c r="O995" s="1"/>
    </row>
    <row r="996" spans="8:15" ht="12.75" x14ac:dyDescent="0.2">
      <c r="H996" s="1"/>
      <c r="O996" s="1"/>
    </row>
    <row r="997" spans="8:15" ht="12.75" x14ac:dyDescent="0.2">
      <c r="H997" s="1"/>
      <c r="O997" s="1"/>
    </row>
    <row r="998" spans="8:15" ht="12.75" x14ac:dyDescent="0.2">
      <c r="H998" s="1"/>
      <c r="O998" s="1"/>
    </row>
    <row r="999" spans="8:15" ht="12.75" x14ac:dyDescent="0.2">
      <c r="H999" s="1"/>
      <c r="O999" s="1"/>
    </row>
    <row r="1000" spans="8:15" ht="12.75" x14ac:dyDescent="0.2">
      <c r="H1000" s="1"/>
      <c r="O1000" s="1"/>
    </row>
    <row r="1001" spans="8:15" ht="12.75" x14ac:dyDescent="0.2">
      <c r="H1001" s="1"/>
      <c r="O1001" s="1"/>
    </row>
    <row r="1002" spans="8:15" ht="12.75" x14ac:dyDescent="0.2">
      <c r="H1002" s="1"/>
      <c r="O1002" s="1"/>
    </row>
    <row r="1003" spans="8:15" ht="12.75" x14ac:dyDescent="0.2">
      <c r="H1003" s="1"/>
      <c r="O1003" s="1"/>
    </row>
    <row r="1004" spans="8:15" ht="12.75" x14ac:dyDescent="0.2">
      <c r="H1004" s="1"/>
      <c r="O1004" s="1"/>
    </row>
    <row r="1005" spans="8:15" ht="12.75" x14ac:dyDescent="0.2">
      <c r="H1005" s="1"/>
      <c r="O1005" s="1"/>
    </row>
    <row r="1006" spans="8:15" ht="12.75" x14ac:dyDescent="0.2">
      <c r="H1006" s="1"/>
      <c r="O1006" s="1"/>
    </row>
    <row r="1007" spans="8:15" ht="12.75" x14ac:dyDescent="0.2">
      <c r="H1007" s="1"/>
      <c r="O1007" s="1"/>
    </row>
    <row r="1008" spans="8:15" ht="12.75" x14ac:dyDescent="0.2">
      <c r="H1008" s="1"/>
      <c r="O1008" s="1"/>
    </row>
    <row r="1009" spans="8:15" ht="12.75" x14ac:dyDescent="0.2">
      <c r="H1009" s="1"/>
      <c r="O1009" s="1"/>
    </row>
    <row r="1010" spans="8:15" ht="12.75" x14ac:dyDescent="0.2">
      <c r="H1010" s="1"/>
      <c r="O1010" s="1"/>
    </row>
    <row r="1011" spans="8:15" ht="12.75" x14ac:dyDescent="0.2">
      <c r="H1011" s="1"/>
      <c r="O1011" s="1"/>
    </row>
    <row r="1012" spans="8:15" ht="12.75" x14ac:dyDescent="0.2">
      <c r="H1012" s="1"/>
      <c r="O1012" s="1"/>
    </row>
    <row r="1013" spans="8:15" ht="12.75" x14ac:dyDescent="0.2">
      <c r="H1013" s="1"/>
      <c r="O1013" s="1"/>
    </row>
    <row r="1014" spans="8:15" ht="12.75" x14ac:dyDescent="0.2">
      <c r="H1014" s="1"/>
      <c r="O1014" s="1"/>
    </row>
    <row r="1015" spans="8:15" ht="12.75" x14ac:dyDescent="0.2">
      <c r="H1015" s="1"/>
      <c r="O1015" s="1"/>
    </row>
    <row r="1016" spans="8:15" ht="12.75" x14ac:dyDescent="0.2">
      <c r="H1016" s="1"/>
      <c r="O1016" s="1"/>
    </row>
    <row r="1017" spans="8:15" ht="12.75" x14ac:dyDescent="0.2">
      <c r="H1017" s="1"/>
      <c r="O1017" s="1"/>
    </row>
    <row r="1018" spans="8:15" ht="12.75" x14ac:dyDescent="0.2">
      <c r="H1018" s="1"/>
      <c r="O1018" s="1"/>
    </row>
    <row r="1019" spans="8:15" ht="12.75" x14ac:dyDescent="0.2">
      <c r="H1019" s="1"/>
      <c r="O1019" s="1"/>
    </row>
  </sheetData>
  <mergeCells count="75">
    <mergeCell ref="C84:E84"/>
    <mergeCell ref="C71:C74"/>
    <mergeCell ref="D71:D74"/>
    <mergeCell ref="E71:E74"/>
    <mergeCell ref="Q71:Q74"/>
    <mergeCell ref="C75:C78"/>
    <mergeCell ref="D75:D78"/>
    <mergeCell ref="E75:E78"/>
    <mergeCell ref="Q75:Q78"/>
    <mergeCell ref="C63:C66"/>
    <mergeCell ref="D63:D66"/>
    <mergeCell ref="E63:E66"/>
    <mergeCell ref="Q63:Q66"/>
    <mergeCell ref="C67:C70"/>
    <mergeCell ref="D67:D70"/>
    <mergeCell ref="E67:E70"/>
    <mergeCell ref="Q67:Q70"/>
    <mergeCell ref="C55:C58"/>
    <mergeCell ref="D55:D58"/>
    <mergeCell ref="E55:E58"/>
    <mergeCell ref="Q55:Q58"/>
    <mergeCell ref="C59:C62"/>
    <mergeCell ref="D59:D62"/>
    <mergeCell ref="E59:E62"/>
    <mergeCell ref="Q59:Q62"/>
    <mergeCell ref="Q47:Q50"/>
    <mergeCell ref="C51:C54"/>
    <mergeCell ref="D51:D54"/>
    <mergeCell ref="E51:E54"/>
    <mergeCell ref="Q51:Q54"/>
    <mergeCell ref="B3:B29"/>
    <mergeCell ref="C3:C6"/>
    <mergeCell ref="D3:D6"/>
    <mergeCell ref="E3:E6"/>
    <mergeCell ref="Q3:Q6"/>
    <mergeCell ref="C7:C10"/>
    <mergeCell ref="C23:C25"/>
    <mergeCell ref="D23:D25"/>
    <mergeCell ref="E23:E25"/>
    <mergeCell ref="Q23:Q25"/>
    <mergeCell ref="C26:C29"/>
    <mergeCell ref="D26:D29"/>
    <mergeCell ref="E26:E29"/>
    <mergeCell ref="Q26:Q29"/>
    <mergeCell ref="C15:C17"/>
    <mergeCell ref="D15:D17"/>
    <mergeCell ref="B32:B78"/>
    <mergeCell ref="C32:C37"/>
    <mergeCell ref="D32:D37"/>
    <mergeCell ref="E32:E37"/>
    <mergeCell ref="Q32:Q37"/>
    <mergeCell ref="C39:C42"/>
    <mergeCell ref="D39:D42"/>
    <mergeCell ref="E39:E42"/>
    <mergeCell ref="Q39:Q42"/>
    <mergeCell ref="C43:C46"/>
    <mergeCell ref="D43:D46"/>
    <mergeCell ref="E43:E46"/>
    <mergeCell ref="Q43:Q46"/>
    <mergeCell ref="C47:C50"/>
    <mergeCell ref="D47:D50"/>
    <mergeCell ref="E47:E50"/>
    <mergeCell ref="E15:E17"/>
    <mergeCell ref="Q15:Q17"/>
    <mergeCell ref="C18:C22"/>
    <mergeCell ref="D18:D22"/>
    <mergeCell ref="E18:E22"/>
    <mergeCell ref="Q18:Q22"/>
    <mergeCell ref="D7:D10"/>
    <mergeCell ref="E7:E10"/>
    <mergeCell ref="Q7:Q10"/>
    <mergeCell ref="C11:C14"/>
    <mergeCell ref="D11:D14"/>
    <mergeCell ref="E11:E14"/>
    <mergeCell ref="Q11:Q14"/>
  </mergeCells>
  <conditionalFormatting sqref="G3:G29 G32:G37 G39:G78 G81">
    <cfRule type="cellIs" dxfId="3" priority="1" operator="equal">
      <formula>0</formula>
    </cfRule>
    <cfRule type="cellIs" dxfId="2" priority="2" operator="notEqual">
      <formula>0</formula>
    </cfRule>
  </conditionalFormatting>
  <dataValidations count="1">
    <dataValidation type="list" allowBlank="1" showErrorMessage="1" sqref="O3:O29 O32:O78" xr:uid="{D5FDB0F6-4A5C-4DD8-8A6C-B64CE5F0572F}">
      <formula1>"1º Trim,2º Trim,3º Trim,4º Trim,5º Trim,6º Trim,7º Trim"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Q1019"/>
  <sheetViews>
    <sheetView workbookViewId="0">
      <pane ySplit="2" topLeftCell="A39" activePane="bottomLeft" state="frozen"/>
      <selection pane="bottomLeft" activeCell="D39" sqref="D39:D42"/>
    </sheetView>
  </sheetViews>
  <sheetFormatPr baseColWidth="10" defaultColWidth="12.5703125" defaultRowHeight="15.75" customHeight="1" x14ac:dyDescent="0.2"/>
  <cols>
    <col min="1" max="1" width="3.42578125" customWidth="1"/>
    <col min="2" max="2" width="6.140625" customWidth="1"/>
    <col min="3" max="3" width="12.5703125" customWidth="1"/>
    <col min="4" max="4" width="9" customWidth="1"/>
    <col min="5" max="5" width="31.42578125" customWidth="1"/>
    <col min="6" max="6" width="9.28515625" customWidth="1"/>
    <col min="7" max="14" width="5.5703125" customWidth="1"/>
    <col min="15" max="15" width="9.7109375" customWidth="1"/>
    <col min="16" max="16" width="95" customWidth="1"/>
    <col min="17" max="17" width="22.140625" customWidth="1"/>
  </cols>
  <sheetData>
    <row r="1" spans="2:17" ht="12.75" x14ac:dyDescent="0.2">
      <c r="H1" s="1"/>
      <c r="O1" s="1"/>
    </row>
    <row r="2" spans="2:17" ht="33" customHeight="1" x14ac:dyDescent="0.2"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</row>
    <row r="3" spans="2:17" ht="12.75" x14ac:dyDescent="0.2">
      <c r="B3" s="193" t="s">
        <v>15</v>
      </c>
      <c r="C3" s="188">
        <v>220501092</v>
      </c>
      <c r="D3" s="189">
        <v>144</v>
      </c>
      <c r="E3" s="190" t="s">
        <v>16</v>
      </c>
      <c r="F3" s="6">
        <v>36</v>
      </c>
      <c r="G3" s="6">
        <f t="shared" ref="G3:G29" si="0">F3-SUM(H3:N3)</f>
        <v>0</v>
      </c>
      <c r="H3" s="140">
        <v>36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 t="s">
        <v>17</v>
      </c>
      <c r="P3" s="142" t="s">
        <v>18</v>
      </c>
      <c r="Q3" s="199" t="s">
        <v>19</v>
      </c>
    </row>
    <row r="4" spans="2:17" ht="12.75" x14ac:dyDescent="0.2">
      <c r="B4" s="181"/>
      <c r="C4" s="181"/>
      <c r="D4" s="181"/>
      <c r="E4" s="181"/>
      <c r="F4" s="6">
        <v>36</v>
      </c>
      <c r="G4" s="6">
        <f t="shared" si="0"/>
        <v>0</v>
      </c>
      <c r="H4" s="140">
        <v>36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 t="s">
        <v>17</v>
      </c>
      <c r="P4" s="143" t="s">
        <v>20</v>
      </c>
      <c r="Q4" s="181"/>
    </row>
    <row r="5" spans="2:17" ht="12.75" x14ac:dyDescent="0.2">
      <c r="B5" s="181"/>
      <c r="C5" s="181"/>
      <c r="D5" s="181"/>
      <c r="E5" s="181"/>
      <c r="F5" s="6">
        <v>36</v>
      </c>
      <c r="G5" s="6">
        <f t="shared" si="0"/>
        <v>0</v>
      </c>
      <c r="H5" s="140">
        <v>36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 t="s">
        <v>17</v>
      </c>
      <c r="P5" s="143" t="s">
        <v>21</v>
      </c>
      <c r="Q5" s="181"/>
    </row>
    <row r="6" spans="2:17" ht="12.75" x14ac:dyDescent="0.2">
      <c r="B6" s="181"/>
      <c r="C6" s="182"/>
      <c r="D6" s="182"/>
      <c r="E6" s="182"/>
      <c r="F6" s="10">
        <v>36</v>
      </c>
      <c r="G6" s="10">
        <f t="shared" si="0"/>
        <v>0</v>
      </c>
      <c r="H6" s="141">
        <v>36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 t="s">
        <v>17</v>
      </c>
      <c r="P6" s="144" t="s">
        <v>22</v>
      </c>
      <c r="Q6" s="187"/>
    </row>
    <row r="7" spans="2:17" ht="12.75" x14ac:dyDescent="0.2">
      <c r="B7" s="181"/>
      <c r="C7" s="194">
        <v>220501093</v>
      </c>
      <c r="D7" s="180">
        <v>288</v>
      </c>
      <c r="E7" s="183" t="s">
        <v>23</v>
      </c>
      <c r="F7" s="15">
        <v>71</v>
      </c>
      <c r="G7" s="15">
        <f t="shared" si="0"/>
        <v>0</v>
      </c>
      <c r="H7" s="15">
        <v>0</v>
      </c>
      <c r="I7" s="137">
        <v>71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 t="s">
        <v>24</v>
      </c>
      <c r="P7" s="139" t="s">
        <v>25</v>
      </c>
      <c r="Q7" s="186" t="s">
        <v>26</v>
      </c>
    </row>
    <row r="8" spans="2:17" ht="12.75" x14ac:dyDescent="0.2">
      <c r="B8" s="181"/>
      <c r="C8" s="181"/>
      <c r="D8" s="181"/>
      <c r="E8" s="181"/>
      <c r="F8" s="15">
        <v>70</v>
      </c>
      <c r="G8" s="15">
        <f t="shared" si="0"/>
        <v>0</v>
      </c>
      <c r="H8" s="15">
        <v>0</v>
      </c>
      <c r="I8" s="137">
        <v>70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 t="s">
        <v>24</v>
      </c>
      <c r="P8" s="139" t="s">
        <v>27</v>
      </c>
      <c r="Q8" s="181"/>
    </row>
    <row r="9" spans="2:17" ht="12.75" x14ac:dyDescent="0.2">
      <c r="B9" s="181"/>
      <c r="C9" s="181"/>
      <c r="D9" s="181"/>
      <c r="E9" s="181"/>
      <c r="F9" s="15">
        <v>77</v>
      </c>
      <c r="G9" s="15">
        <f t="shared" si="0"/>
        <v>0</v>
      </c>
      <c r="H9" s="135">
        <v>77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 t="s">
        <v>17</v>
      </c>
      <c r="P9" s="138" t="s">
        <v>28</v>
      </c>
      <c r="Q9" s="181"/>
    </row>
    <row r="10" spans="2:17" ht="12.75" x14ac:dyDescent="0.2">
      <c r="B10" s="181"/>
      <c r="C10" s="182"/>
      <c r="D10" s="182"/>
      <c r="E10" s="182"/>
      <c r="F10" s="18">
        <v>70</v>
      </c>
      <c r="G10" s="18">
        <f t="shared" si="0"/>
        <v>0</v>
      </c>
      <c r="H10" s="18">
        <v>0</v>
      </c>
      <c r="I10" s="18">
        <v>0</v>
      </c>
      <c r="J10" s="18">
        <v>70</v>
      </c>
      <c r="K10" s="18">
        <v>0</v>
      </c>
      <c r="L10" s="18">
        <v>0</v>
      </c>
      <c r="M10" s="18">
        <v>0</v>
      </c>
      <c r="N10" s="18">
        <v>0</v>
      </c>
      <c r="O10" s="18" t="s">
        <v>29</v>
      </c>
      <c r="P10" s="19" t="s">
        <v>30</v>
      </c>
      <c r="Q10" s="187"/>
    </row>
    <row r="11" spans="2:17" ht="12.75" x14ac:dyDescent="0.2">
      <c r="B11" s="181"/>
      <c r="C11" s="188">
        <v>220501095</v>
      </c>
      <c r="D11" s="189">
        <v>336</v>
      </c>
      <c r="E11" s="190" t="s">
        <v>31</v>
      </c>
      <c r="F11" s="6">
        <v>84</v>
      </c>
      <c r="G11" s="15">
        <f t="shared" si="0"/>
        <v>0</v>
      </c>
      <c r="H11" s="6">
        <v>0</v>
      </c>
      <c r="I11" s="6">
        <v>0</v>
      </c>
      <c r="J11" s="6">
        <v>84</v>
      </c>
      <c r="K11" s="6">
        <v>0</v>
      </c>
      <c r="L11" s="6">
        <v>0</v>
      </c>
      <c r="M11" s="6">
        <v>0</v>
      </c>
      <c r="N11" s="6">
        <v>0</v>
      </c>
      <c r="O11" s="6" t="s">
        <v>29</v>
      </c>
      <c r="P11" s="7" t="s">
        <v>32</v>
      </c>
      <c r="Q11" s="191" t="s">
        <v>33</v>
      </c>
    </row>
    <row r="12" spans="2:17" ht="12.75" x14ac:dyDescent="0.2">
      <c r="B12" s="181"/>
      <c r="C12" s="181"/>
      <c r="D12" s="181"/>
      <c r="E12" s="181"/>
      <c r="F12" s="21">
        <v>84</v>
      </c>
      <c r="G12" s="15">
        <f t="shared" si="0"/>
        <v>0</v>
      </c>
      <c r="H12" s="21">
        <v>0</v>
      </c>
      <c r="I12" s="21">
        <v>0</v>
      </c>
      <c r="J12" s="21">
        <v>84</v>
      </c>
      <c r="K12" s="21">
        <v>0</v>
      </c>
      <c r="L12" s="21">
        <v>0</v>
      </c>
      <c r="M12" s="21">
        <v>0</v>
      </c>
      <c r="N12" s="21">
        <v>0</v>
      </c>
      <c r="O12" s="6" t="s">
        <v>29</v>
      </c>
      <c r="P12" s="9" t="s">
        <v>34</v>
      </c>
      <c r="Q12" s="181"/>
    </row>
    <row r="13" spans="2:17" ht="12.75" x14ac:dyDescent="0.2">
      <c r="B13" s="181"/>
      <c r="C13" s="181"/>
      <c r="D13" s="181"/>
      <c r="E13" s="181"/>
      <c r="F13" s="21">
        <v>84</v>
      </c>
      <c r="G13" s="15">
        <f t="shared" si="0"/>
        <v>0</v>
      </c>
      <c r="H13" s="21">
        <v>0</v>
      </c>
      <c r="I13" s="21">
        <v>0</v>
      </c>
      <c r="J13" s="21">
        <v>0</v>
      </c>
      <c r="K13" s="21">
        <v>84</v>
      </c>
      <c r="L13" s="21">
        <v>0</v>
      </c>
      <c r="M13" s="21">
        <v>0</v>
      </c>
      <c r="N13" s="21">
        <v>0</v>
      </c>
      <c r="O13" s="6" t="s">
        <v>35</v>
      </c>
      <c r="P13" s="9" t="s">
        <v>36</v>
      </c>
      <c r="Q13" s="181"/>
    </row>
    <row r="14" spans="2:17" ht="12.75" x14ac:dyDescent="0.2">
      <c r="B14" s="181"/>
      <c r="C14" s="182"/>
      <c r="D14" s="182"/>
      <c r="E14" s="182"/>
      <c r="F14" s="22">
        <v>84</v>
      </c>
      <c r="G14" s="18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84</v>
      </c>
      <c r="M14" s="22">
        <v>0</v>
      </c>
      <c r="N14" s="22">
        <v>0</v>
      </c>
      <c r="O14" s="10" t="s">
        <v>37</v>
      </c>
      <c r="P14" s="11" t="s">
        <v>38</v>
      </c>
      <c r="Q14" s="187"/>
    </row>
    <row r="15" spans="2:17" ht="12.75" x14ac:dyDescent="0.2">
      <c r="B15" s="181"/>
      <c r="C15" s="194">
        <v>220501094</v>
      </c>
      <c r="D15" s="180">
        <v>144</v>
      </c>
      <c r="E15" s="183" t="s">
        <v>39</v>
      </c>
      <c r="F15" s="15">
        <v>48</v>
      </c>
      <c r="G15" s="15">
        <f t="shared" si="0"/>
        <v>0</v>
      </c>
      <c r="H15" s="15">
        <v>0</v>
      </c>
      <c r="I15" s="15">
        <v>0</v>
      </c>
      <c r="J15" s="15">
        <v>48</v>
      </c>
      <c r="K15" s="15">
        <v>0</v>
      </c>
      <c r="L15" s="15">
        <v>0</v>
      </c>
      <c r="M15" s="15">
        <v>0</v>
      </c>
      <c r="N15" s="15">
        <v>0</v>
      </c>
      <c r="O15" s="15" t="s">
        <v>29</v>
      </c>
      <c r="P15" s="16" t="s">
        <v>40</v>
      </c>
      <c r="Q15" s="191" t="s">
        <v>33</v>
      </c>
    </row>
    <row r="16" spans="2:17" ht="12.75" x14ac:dyDescent="0.2">
      <c r="B16" s="181"/>
      <c r="C16" s="181"/>
      <c r="D16" s="181"/>
      <c r="E16" s="181"/>
      <c r="F16" s="23">
        <v>48</v>
      </c>
      <c r="G16" s="15">
        <f t="shared" si="0"/>
        <v>0</v>
      </c>
      <c r="H16" s="23">
        <v>0</v>
      </c>
      <c r="I16" s="23">
        <v>0</v>
      </c>
      <c r="J16" s="23">
        <v>0</v>
      </c>
      <c r="K16" s="23">
        <v>48</v>
      </c>
      <c r="L16" s="23">
        <v>0</v>
      </c>
      <c r="M16" s="23">
        <v>0</v>
      </c>
      <c r="N16" s="23">
        <v>0</v>
      </c>
      <c r="O16" s="15" t="s">
        <v>35</v>
      </c>
      <c r="P16" s="24" t="s">
        <v>41</v>
      </c>
      <c r="Q16" s="181"/>
    </row>
    <row r="17" spans="2:17" ht="12.75" x14ac:dyDescent="0.2">
      <c r="B17" s="181"/>
      <c r="C17" s="182"/>
      <c r="D17" s="182"/>
      <c r="E17" s="182"/>
      <c r="F17" s="25">
        <v>48</v>
      </c>
      <c r="G17" s="18">
        <f t="shared" si="0"/>
        <v>0</v>
      </c>
      <c r="H17" s="25">
        <v>0</v>
      </c>
      <c r="I17" s="25">
        <v>0</v>
      </c>
      <c r="J17" s="25">
        <v>0</v>
      </c>
      <c r="K17" s="25">
        <v>0</v>
      </c>
      <c r="L17" s="25">
        <v>48</v>
      </c>
      <c r="M17" s="25">
        <v>0</v>
      </c>
      <c r="N17" s="25">
        <v>0</v>
      </c>
      <c r="O17" s="18" t="s">
        <v>37</v>
      </c>
      <c r="P17" s="19" t="s">
        <v>42</v>
      </c>
      <c r="Q17" s="182"/>
    </row>
    <row r="18" spans="2:17" ht="12.75" x14ac:dyDescent="0.2">
      <c r="B18" s="181"/>
      <c r="C18" s="188">
        <v>220501096</v>
      </c>
      <c r="D18" s="189">
        <f>SUM(F18:F22)</f>
        <v>1008</v>
      </c>
      <c r="E18" s="190" t="s">
        <v>43</v>
      </c>
      <c r="F18" s="6">
        <v>140</v>
      </c>
      <c r="G18" s="6">
        <f t="shared" si="0"/>
        <v>0</v>
      </c>
      <c r="H18" s="135">
        <v>77</v>
      </c>
      <c r="I18" s="6">
        <v>0</v>
      </c>
      <c r="J18" s="6">
        <v>0</v>
      </c>
      <c r="K18" s="6">
        <v>0</v>
      </c>
      <c r="L18" s="6">
        <v>0</v>
      </c>
      <c r="M18" s="6">
        <v>31</v>
      </c>
      <c r="N18" s="6">
        <v>32</v>
      </c>
      <c r="O18" s="6" t="s">
        <v>44</v>
      </c>
      <c r="P18" s="138" t="s">
        <v>45</v>
      </c>
      <c r="Q18" s="192" t="s">
        <v>46</v>
      </c>
    </row>
    <row r="19" spans="2:17" ht="12.75" x14ac:dyDescent="0.2">
      <c r="B19" s="181"/>
      <c r="C19" s="181"/>
      <c r="D19" s="181"/>
      <c r="E19" s="181"/>
      <c r="F19" s="6">
        <v>150</v>
      </c>
      <c r="G19" s="6">
        <f t="shared" si="0"/>
        <v>0</v>
      </c>
      <c r="H19" s="6">
        <v>0</v>
      </c>
      <c r="I19" s="6">
        <v>0</v>
      </c>
      <c r="J19" s="6">
        <v>0</v>
      </c>
      <c r="K19" s="6">
        <v>50</v>
      </c>
      <c r="L19" s="6">
        <v>30</v>
      </c>
      <c r="M19" s="6">
        <v>30</v>
      </c>
      <c r="N19" s="6">
        <v>40</v>
      </c>
      <c r="O19" s="6" t="s">
        <v>44</v>
      </c>
      <c r="P19" s="9" t="s">
        <v>47</v>
      </c>
      <c r="Q19" s="181"/>
    </row>
    <row r="20" spans="2:17" ht="12.75" x14ac:dyDescent="0.2">
      <c r="B20" s="181"/>
      <c r="C20" s="181"/>
      <c r="D20" s="181"/>
      <c r="E20" s="181"/>
      <c r="F20" s="6">
        <v>210</v>
      </c>
      <c r="G20" s="6">
        <f t="shared" si="0"/>
        <v>0</v>
      </c>
      <c r="H20" s="6">
        <v>0</v>
      </c>
      <c r="I20" s="137">
        <v>70</v>
      </c>
      <c r="J20" s="6">
        <v>0</v>
      </c>
      <c r="K20" s="6">
        <v>0</v>
      </c>
      <c r="L20" s="6">
        <v>0</v>
      </c>
      <c r="M20" s="6">
        <v>45</v>
      </c>
      <c r="N20" s="6">
        <v>95</v>
      </c>
      <c r="O20" s="6" t="s">
        <v>44</v>
      </c>
      <c r="P20" s="136" t="s">
        <v>48</v>
      </c>
      <c r="Q20" s="181"/>
    </row>
    <row r="21" spans="2:17" ht="12.75" x14ac:dyDescent="0.2">
      <c r="B21" s="181"/>
      <c r="C21" s="181"/>
      <c r="D21" s="181"/>
      <c r="E21" s="181"/>
      <c r="F21" s="6">
        <v>368</v>
      </c>
      <c r="G21" s="6">
        <f t="shared" si="0"/>
        <v>0</v>
      </c>
      <c r="H21" s="6">
        <v>0</v>
      </c>
      <c r="I21" s="137">
        <v>77</v>
      </c>
      <c r="J21" s="6">
        <v>0</v>
      </c>
      <c r="K21" s="6">
        <v>56</v>
      </c>
      <c r="L21" s="6">
        <v>0</v>
      </c>
      <c r="M21" s="6">
        <v>92</v>
      </c>
      <c r="N21" s="6">
        <v>143</v>
      </c>
      <c r="O21" s="6" t="s">
        <v>44</v>
      </c>
      <c r="P21" s="136" t="s">
        <v>49</v>
      </c>
      <c r="Q21" s="181"/>
    </row>
    <row r="22" spans="2:17" ht="12.75" x14ac:dyDescent="0.2">
      <c r="B22" s="181"/>
      <c r="C22" s="182"/>
      <c r="D22" s="182"/>
      <c r="E22" s="182"/>
      <c r="F22" s="10">
        <v>140</v>
      </c>
      <c r="G22" s="10">
        <f t="shared" si="0"/>
        <v>0</v>
      </c>
      <c r="H22" s="10">
        <v>0</v>
      </c>
      <c r="I22" s="10">
        <v>0</v>
      </c>
      <c r="J22" s="10">
        <v>0</v>
      </c>
      <c r="K22" s="10">
        <v>0</v>
      </c>
      <c r="L22" s="10">
        <v>76</v>
      </c>
      <c r="M22" s="10">
        <v>64</v>
      </c>
      <c r="N22" s="10">
        <v>0</v>
      </c>
      <c r="O22" s="10" t="s">
        <v>50</v>
      </c>
      <c r="P22" s="11" t="s">
        <v>51</v>
      </c>
      <c r="Q22" s="182"/>
    </row>
    <row r="23" spans="2:17" ht="12.75" x14ac:dyDescent="0.2">
      <c r="B23" s="181"/>
      <c r="C23" s="194">
        <v>220501098</v>
      </c>
      <c r="D23" s="180">
        <v>144</v>
      </c>
      <c r="E23" s="183" t="s">
        <v>52</v>
      </c>
      <c r="F23" s="15">
        <v>48</v>
      </c>
      <c r="G23" s="15">
        <f t="shared" si="0"/>
        <v>0</v>
      </c>
      <c r="H23" s="27">
        <v>0</v>
      </c>
      <c r="I23" s="27">
        <v>0</v>
      </c>
      <c r="J23" s="27">
        <v>0</v>
      </c>
      <c r="K23" s="27">
        <v>48</v>
      </c>
      <c r="L23" s="27">
        <v>0</v>
      </c>
      <c r="M23" s="27">
        <v>0</v>
      </c>
      <c r="N23" s="27">
        <v>0</v>
      </c>
      <c r="O23" s="15" t="s">
        <v>35</v>
      </c>
      <c r="P23" s="28" t="s">
        <v>53</v>
      </c>
      <c r="Q23" s="192" t="s">
        <v>46</v>
      </c>
    </row>
    <row r="24" spans="2:17" ht="12.75" x14ac:dyDescent="0.2">
      <c r="B24" s="181"/>
      <c r="C24" s="181"/>
      <c r="D24" s="181"/>
      <c r="E24" s="181"/>
      <c r="F24" s="23">
        <v>48</v>
      </c>
      <c r="G24" s="15">
        <f t="shared" si="0"/>
        <v>0</v>
      </c>
      <c r="H24" s="29">
        <v>0</v>
      </c>
      <c r="I24" s="29">
        <v>0</v>
      </c>
      <c r="J24" s="29">
        <v>0</v>
      </c>
      <c r="K24" s="29">
        <v>0</v>
      </c>
      <c r="L24" s="29">
        <v>48</v>
      </c>
      <c r="M24" s="29">
        <v>0</v>
      </c>
      <c r="N24" s="29">
        <v>0</v>
      </c>
      <c r="O24" s="15" t="s">
        <v>37</v>
      </c>
      <c r="P24" s="30" t="s">
        <v>54</v>
      </c>
      <c r="Q24" s="181"/>
    </row>
    <row r="25" spans="2:17" ht="12.75" x14ac:dyDescent="0.2">
      <c r="B25" s="181"/>
      <c r="C25" s="182"/>
      <c r="D25" s="182"/>
      <c r="E25" s="182"/>
      <c r="F25" s="25">
        <v>48</v>
      </c>
      <c r="G25" s="18">
        <f t="shared" si="0"/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48</v>
      </c>
      <c r="N25" s="31">
        <v>0</v>
      </c>
      <c r="O25" s="18" t="s">
        <v>50</v>
      </c>
      <c r="P25" s="32" t="s">
        <v>55</v>
      </c>
      <c r="Q25" s="187"/>
    </row>
    <row r="26" spans="2:17" ht="12.75" x14ac:dyDescent="0.2">
      <c r="B26" s="181"/>
      <c r="C26" s="188">
        <v>220501097</v>
      </c>
      <c r="D26" s="189">
        <v>144</v>
      </c>
      <c r="E26" s="190" t="s">
        <v>56</v>
      </c>
      <c r="F26" s="6">
        <v>36</v>
      </c>
      <c r="G26" s="15">
        <f t="shared" si="0"/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36</v>
      </c>
      <c r="O26" s="6" t="s">
        <v>44</v>
      </c>
      <c r="P26" s="7" t="s">
        <v>57</v>
      </c>
      <c r="Q26" s="200" t="s">
        <v>58</v>
      </c>
    </row>
    <row r="27" spans="2:17" ht="12.75" x14ac:dyDescent="0.2">
      <c r="B27" s="181"/>
      <c r="C27" s="181"/>
      <c r="D27" s="181"/>
      <c r="E27" s="181"/>
      <c r="F27" s="21">
        <v>36</v>
      </c>
      <c r="G27" s="15">
        <f t="shared" si="0"/>
        <v>0</v>
      </c>
      <c r="H27" s="21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36</v>
      </c>
      <c r="O27" s="6" t="s">
        <v>44</v>
      </c>
      <c r="P27" s="9" t="s">
        <v>59</v>
      </c>
      <c r="Q27" s="181"/>
    </row>
    <row r="28" spans="2:17" ht="12.75" x14ac:dyDescent="0.2">
      <c r="B28" s="181"/>
      <c r="C28" s="181"/>
      <c r="D28" s="181"/>
      <c r="E28" s="181"/>
      <c r="F28" s="21">
        <v>36</v>
      </c>
      <c r="G28" s="15">
        <f t="shared" si="0"/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36</v>
      </c>
      <c r="N28" s="6">
        <v>0</v>
      </c>
      <c r="O28" s="6" t="s">
        <v>50</v>
      </c>
      <c r="P28" s="7" t="s">
        <v>60</v>
      </c>
      <c r="Q28" s="181"/>
    </row>
    <row r="29" spans="2:17" ht="12.75" x14ac:dyDescent="0.2">
      <c r="B29" s="181"/>
      <c r="C29" s="182"/>
      <c r="D29" s="182"/>
      <c r="E29" s="182"/>
      <c r="F29" s="22">
        <v>36</v>
      </c>
      <c r="G29" s="18">
        <f t="shared" si="0"/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36</v>
      </c>
      <c r="N29" s="22">
        <v>0</v>
      </c>
      <c r="O29" s="6" t="s">
        <v>50</v>
      </c>
      <c r="P29" s="11" t="s">
        <v>61</v>
      </c>
      <c r="Q29" s="187"/>
    </row>
    <row r="30" spans="2:17" x14ac:dyDescent="0.25">
      <c r="B30" s="34"/>
      <c r="C30" s="34"/>
      <c r="D30" s="34"/>
      <c r="E30" s="35" t="s">
        <v>62</v>
      </c>
      <c r="F30" s="36">
        <f t="shared" ref="F30:N30" si="1">SUM(F3:F29)</f>
        <v>2208</v>
      </c>
      <c r="G30" s="36">
        <f t="shared" si="1"/>
        <v>0</v>
      </c>
      <c r="H30" s="36">
        <f t="shared" si="1"/>
        <v>298</v>
      </c>
      <c r="I30" s="36">
        <f t="shared" si="1"/>
        <v>288</v>
      </c>
      <c r="J30" s="36">
        <f t="shared" si="1"/>
        <v>286</v>
      </c>
      <c r="K30" s="36">
        <f t="shared" si="1"/>
        <v>286</v>
      </c>
      <c r="L30" s="36">
        <f t="shared" si="1"/>
        <v>286</v>
      </c>
      <c r="M30" s="36">
        <f t="shared" si="1"/>
        <v>382</v>
      </c>
      <c r="N30" s="36">
        <f t="shared" si="1"/>
        <v>382</v>
      </c>
      <c r="O30" s="36"/>
      <c r="P30" s="34"/>
      <c r="Q30" s="34"/>
    </row>
    <row r="31" spans="2:17" ht="12.75" x14ac:dyDescent="0.2">
      <c r="H31" s="1"/>
      <c r="O31" s="1"/>
    </row>
    <row r="32" spans="2:17" ht="38.25" x14ac:dyDescent="0.2">
      <c r="B32" s="193" t="s">
        <v>63</v>
      </c>
      <c r="C32" s="194">
        <v>240202501</v>
      </c>
      <c r="D32" s="180">
        <v>384</v>
      </c>
      <c r="E32" s="183" t="s">
        <v>64</v>
      </c>
      <c r="F32" s="15">
        <v>48</v>
      </c>
      <c r="G32" s="15">
        <f t="shared" ref="G32:G78" si="2">F32-SUM(H32:N32)</f>
        <v>0</v>
      </c>
      <c r="H32" s="135">
        <v>48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 t="s">
        <v>17</v>
      </c>
      <c r="P32" s="150" t="s">
        <v>65</v>
      </c>
      <c r="Q32" s="195"/>
    </row>
    <row r="33" spans="2:17" ht="12.75" x14ac:dyDescent="0.2">
      <c r="B33" s="181"/>
      <c r="C33" s="181"/>
      <c r="D33" s="181"/>
      <c r="E33" s="181"/>
      <c r="F33" s="15">
        <v>48</v>
      </c>
      <c r="G33" s="15">
        <f t="shared" si="2"/>
        <v>0</v>
      </c>
      <c r="H33" s="15">
        <v>0</v>
      </c>
      <c r="I33" s="15">
        <v>0</v>
      </c>
      <c r="J33" s="15">
        <v>48</v>
      </c>
      <c r="K33" s="15">
        <v>0</v>
      </c>
      <c r="L33" s="15">
        <v>0</v>
      </c>
      <c r="M33" s="15">
        <v>0</v>
      </c>
      <c r="N33" s="15">
        <v>0</v>
      </c>
      <c r="O33" s="15" t="s">
        <v>29</v>
      </c>
      <c r="P33" s="16" t="s">
        <v>66</v>
      </c>
      <c r="Q33" s="181"/>
    </row>
    <row r="34" spans="2:17" ht="12.75" x14ac:dyDescent="0.2">
      <c r="B34" s="181"/>
      <c r="C34" s="181"/>
      <c r="D34" s="181"/>
      <c r="E34" s="181"/>
      <c r="F34" s="15">
        <v>48</v>
      </c>
      <c r="G34" s="15">
        <f t="shared" si="2"/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48</v>
      </c>
      <c r="O34" s="15" t="s">
        <v>44</v>
      </c>
      <c r="P34" s="37" t="s">
        <v>67</v>
      </c>
      <c r="Q34" s="181"/>
    </row>
    <row r="35" spans="2:17" ht="12.75" x14ac:dyDescent="0.2">
      <c r="B35" s="181"/>
      <c r="C35" s="181"/>
      <c r="D35" s="181"/>
      <c r="E35" s="181"/>
      <c r="F35" s="15">
        <v>48</v>
      </c>
      <c r="G35" s="15">
        <f t="shared" si="2"/>
        <v>0</v>
      </c>
      <c r="H35" s="15">
        <v>0</v>
      </c>
      <c r="I35" s="15">
        <v>0</v>
      </c>
      <c r="J35" s="15">
        <v>0</v>
      </c>
      <c r="K35" s="15">
        <v>48</v>
      </c>
      <c r="L35" s="15">
        <v>0</v>
      </c>
      <c r="M35" s="15">
        <v>0</v>
      </c>
      <c r="N35" s="15">
        <v>0</v>
      </c>
      <c r="O35" s="15" t="s">
        <v>35</v>
      </c>
      <c r="P35" s="38" t="s">
        <v>68</v>
      </c>
      <c r="Q35" s="181"/>
    </row>
    <row r="36" spans="2:17" ht="12.75" x14ac:dyDescent="0.2">
      <c r="B36" s="181"/>
      <c r="C36" s="181"/>
      <c r="D36" s="181"/>
      <c r="E36" s="181"/>
      <c r="F36" s="15">
        <f>48*2</f>
        <v>96</v>
      </c>
      <c r="G36" s="15">
        <f t="shared" si="2"/>
        <v>0</v>
      </c>
      <c r="H36" s="15">
        <v>0</v>
      </c>
      <c r="I36" s="15">
        <v>0</v>
      </c>
      <c r="J36" s="15">
        <v>0</v>
      </c>
      <c r="K36" s="15">
        <v>0</v>
      </c>
      <c r="L36" s="15">
        <v>48</v>
      </c>
      <c r="M36" s="15">
        <v>48</v>
      </c>
      <c r="N36" s="15">
        <v>0</v>
      </c>
      <c r="O36" s="15" t="s">
        <v>50</v>
      </c>
      <c r="P36" s="38" t="s">
        <v>69</v>
      </c>
      <c r="Q36" s="181"/>
    </row>
    <row r="37" spans="2:17" ht="12.75" x14ac:dyDescent="0.2">
      <c r="B37" s="181"/>
      <c r="C37" s="182"/>
      <c r="D37" s="182"/>
      <c r="E37" s="182"/>
      <c r="F37" s="39">
        <v>48</v>
      </c>
      <c r="G37" s="39">
        <f t="shared" si="2"/>
        <v>0</v>
      </c>
      <c r="H37" s="39">
        <v>0</v>
      </c>
      <c r="I37" s="39">
        <v>48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18" t="s">
        <v>24</v>
      </c>
      <c r="P37" s="40" t="s">
        <v>70</v>
      </c>
      <c r="Q37" s="196"/>
    </row>
    <row r="38" spans="2:17" x14ac:dyDescent="0.2">
      <c r="B38" s="181"/>
      <c r="C38" s="41">
        <v>240201530</v>
      </c>
      <c r="D38" s="42">
        <v>48</v>
      </c>
      <c r="E38" s="43" t="s">
        <v>71</v>
      </c>
      <c r="F38" s="10">
        <v>48</v>
      </c>
      <c r="G38" s="10">
        <f t="shared" si="2"/>
        <v>0</v>
      </c>
      <c r="H38" s="10">
        <v>48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44" t="s">
        <v>17</v>
      </c>
      <c r="P38" s="45" t="s">
        <v>72</v>
      </c>
      <c r="Q38" s="45"/>
    </row>
    <row r="39" spans="2:17" ht="12.75" x14ac:dyDescent="0.2">
      <c r="B39" s="181"/>
      <c r="C39" s="194">
        <v>220501046</v>
      </c>
      <c r="D39" s="180">
        <v>48</v>
      </c>
      <c r="E39" s="183" t="s">
        <v>73</v>
      </c>
      <c r="F39" s="15">
        <f t="shared" ref="F39:F46" si="3">48/4</f>
        <v>12</v>
      </c>
      <c r="G39" s="15">
        <f t="shared" si="2"/>
        <v>0</v>
      </c>
      <c r="H39" s="135">
        <v>12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 t="s">
        <v>17</v>
      </c>
      <c r="P39" s="138" t="s">
        <v>74</v>
      </c>
      <c r="Q39" s="195"/>
    </row>
    <row r="40" spans="2:17" ht="12.75" x14ac:dyDescent="0.2">
      <c r="B40" s="181"/>
      <c r="C40" s="181"/>
      <c r="D40" s="181"/>
      <c r="E40" s="181"/>
      <c r="F40" s="15">
        <f t="shared" si="3"/>
        <v>12</v>
      </c>
      <c r="G40" s="15">
        <f t="shared" si="2"/>
        <v>0</v>
      </c>
      <c r="H40" s="135">
        <v>12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 t="s">
        <v>17</v>
      </c>
      <c r="P40" s="138" t="s">
        <v>75</v>
      </c>
      <c r="Q40" s="181"/>
    </row>
    <row r="41" spans="2:17" ht="12.75" x14ac:dyDescent="0.2">
      <c r="B41" s="181"/>
      <c r="C41" s="181"/>
      <c r="D41" s="181"/>
      <c r="E41" s="181"/>
      <c r="F41" s="15">
        <f t="shared" si="3"/>
        <v>12</v>
      </c>
      <c r="G41" s="15">
        <f t="shared" si="2"/>
        <v>0</v>
      </c>
      <c r="H41" s="135">
        <v>12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 t="s">
        <v>17</v>
      </c>
      <c r="P41" s="138" t="s">
        <v>76</v>
      </c>
      <c r="Q41" s="181"/>
    </row>
    <row r="42" spans="2:17" ht="12.75" x14ac:dyDescent="0.2">
      <c r="B42" s="181"/>
      <c r="C42" s="182"/>
      <c r="D42" s="182"/>
      <c r="E42" s="182"/>
      <c r="F42" s="18">
        <f t="shared" si="3"/>
        <v>12</v>
      </c>
      <c r="G42" s="18">
        <f t="shared" si="2"/>
        <v>0</v>
      </c>
      <c r="H42" s="149">
        <v>12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 t="s">
        <v>17</v>
      </c>
      <c r="P42" s="148" t="s">
        <v>77</v>
      </c>
      <c r="Q42" s="197"/>
    </row>
    <row r="43" spans="2:17" ht="12.75" x14ac:dyDescent="0.2">
      <c r="B43" s="181"/>
      <c r="C43" s="188">
        <v>240201528</v>
      </c>
      <c r="D43" s="189">
        <v>48</v>
      </c>
      <c r="E43" s="190" t="s">
        <v>78</v>
      </c>
      <c r="F43" s="6">
        <f t="shared" si="3"/>
        <v>12</v>
      </c>
      <c r="G43" s="15">
        <f t="shared" si="2"/>
        <v>0</v>
      </c>
      <c r="H43" s="135">
        <v>12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 t="s">
        <v>17</v>
      </c>
      <c r="P43" s="138" t="s">
        <v>79</v>
      </c>
      <c r="Q43" s="198"/>
    </row>
    <row r="44" spans="2:17" ht="12.75" x14ac:dyDescent="0.2">
      <c r="B44" s="181"/>
      <c r="C44" s="181"/>
      <c r="D44" s="181"/>
      <c r="E44" s="181"/>
      <c r="F44" s="6">
        <f t="shared" si="3"/>
        <v>12</v>
      </c>
      <c r="G44" s="15">
        <f t="shared" si="2"/>
        <v>0</v>
      </c>
      <c r="H44" s="145">
        <v>12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6" t="s">
        <v>17</v>
      </c>
      <c r="P44" s="147" t="s">
        <v>80</v>
      </c>
      <c r="Q44" s="181"/>
    </row>
    <row r="45" spans="2:17" ht="12.75" x14ac:dyDescent="0.2">
      <c r="B45" s="181"/>
      <c r="C45" s="181"/>
      <c r="D45" s="181"/>
      <c r="E45" s="181"/>
      <c r="F45" s="6">
        <f t="shared" si="3"/>
        <v>12</v>
      </c>
      <c r="G45" s="15">
        <f t="shared" si="2"/>
        <v>0</v>
      </c>
      <c r="H45" s="145">
        <v>12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6" t="s">
        <v>17</v>
      </c>
      <c r="P45" s="147" t="s">
        <v>81</v>
      </c>
      <c r="Q45" s="181"/>
    </row>
    <row r="46" spans="2:17" ht="12.75" x14ac:dyDescent="0.2">
      <c r="B46" s="181"/>
      <c r="C46" s="182"/>
      <c r="D46" s="182"/>
      <c r="E46" s="182"/>
      <c r="F46" s="22">
        <f t="shared" si="3"/>
        <v>12</v>
      </c>
      <c r="G46" s="18">
        <f t="shared" si="2"/>
        <v>0</v>
      </c>
      <c r="H46" s="146">
        <v>12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44" t="s">
        <v>17</v>
      </c>
      <c r="P46" s="148" t="s">
        <v>82</v>
      </c>
      <c r="Q46" s="197"/>
    </row>
    <row r="47" spans="2:17" ht="12.75" x14ac:dyDescent="0.2">
      <c r="B47" s="181"/>
      <c r="C47" s="194">
        <v>240201064</v>
      </c>
      <c r="D47" s="180">
        <v>48</v>
      </c>
      <c r="E47" s="183" t="s">
        <v>83</v>
      </c>
      <c r="F47" s="15">
        <v>12</v>
      </c>
      <c r="G47" s="15">
        <f t="shared" si="2"/>
        <v>0</v>
      </c>
      <c r="H47" s="15">
        <v>0</v>
      </c>
      <c r="I47" s="15">
        <v>12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 t="s">
        <v>24</v>
      </c>
      <c r="P47" s="16" t="s">
        <v>84</v>
      </c>
      <c r="Q47" s="195"/>
    </row>
    <row r="48" spans="2:17" ht="12.75" x14ac:dyDescent="0.2">
      <c r="B48" s="181"/>
      <c r="C48" s="181"/>
      <c r="D48" s="181"/>
      <c r="E48" s="181"/>
      <c r="F48" s="23">
        <v>12</v>
      </c>
      <c r="G48" s="15">
        <f t="shared" si="2"/>
        <v>0</v>
      </c>
      <c r="H48" s="23">
        <v>0</v>
      </c>
      <c r="I48" s="23">
        <v>12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15" t="s">
        <v>24</v>
      </c>
      <c r="P48" s="24" t="s">
        <v>85</v>
      </c>
      <c r="Q48" s="181"/>
    </row>
    <row r="49" spans="2:17" ht="12.75" x14ac:dyDescent="0.2">
      <c r="B49" s="181"/>
      <c r="C49" s="181"/>
      <c r="D49" s="181"/>
      <c r="E49" s="181"/>
      <c r="F49" s="46">
        <v>12</v>
      </c>
      <c r="G49" s="15">
        <f t="shared" si="2"/>
        <v>0</v>
      </c>
      <c r="H49" s="46">
        <v>0</v>
      </c>
      <c r="I49" s="46">
        <v>12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15" t="s">
        <v>24</v>
      </c>
      <c r="P49" s="47" t="s">
        <v>86</v>
      </c>
      <c r="Q49" s="181"/>
    </row>
    <row r="50" spans="2:17" ht="12.75" x14ac:dyDescent="0.2">
      <c r="B50" s="181"/>
      <c r="C50" s="182"/>
      <c r="D50" s="182"/>
      <c r="E50" s="182"/>
      <c r="F50" s="25">
        <v>12</v>
      </c>
      <c r="G50" s="18">
        <f t="shared" si="2"/>
        <v>0</v>
      </c>
      <c r="H50" s="25">
        <v>0</v>
      </c>
      <c r="I50" s="25">
        <v>12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18" t="s">
        <v>24</v>
      </c>
      <c r="P50" s="19" t="s">
        <v>87</v>
      </c>
      <c r="Q50" s="197"/>
    </row>
    <row r="51" spans="2:17" ht="12.75" x14ac:dyDescent="0.2">
      <c r="B51" s="181"/>
      <c r="C51" s="188">
        <v>220201501</v>
      </c>
      <c r="D51" s="189">
        <v>48</v>
      </c>
      <c r="E51" s="190" t="s">
        <v>88</v>
      </c>
      <c r="F51" s="6">
        <v>12</v>
      </c>
      <c r="G51" s="15">
        <f t="shared" si="2"/>
        <v>0</v>
      </c>
      <c r="H51" s="6">
        <v>0</v>
      </c>
      <c r="I51" s="6">
        <v>12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 t="s">
        <v>24</v>
      </c>
      <c r="P51" s="7" t="s">
        <v>89</v>
      </c>
      <c r="Q51" s="198"/>
    </row>
    <row r="52" spans="2:17" ht="12.75" x14ac:dyDescent="0.2">
      <c r="B52" s="181"/>
      <c r="C52" s="181"/>
      <c r="D52" s="181"/>
      <c r="E52" s="181"/>
      <c r="F52" s="21">
        <v>12</v>
      </c>
      <c r="G52" s="15">
        <f t="shared" si="2"/>
        <v>0</v>
      </c>
      <c r="H52" s="21">
        <v>0</v>
      </c>
      <c r="I52" s="21">
        <v>12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6" t="s">
        <v>24</v>
      </c>
      <c r="P52" s="9" t="s">
        <v>90</v>
      </c>
      <c r="Q52" s="181"/>
    </row>
    <row r="53" spans="2:17" ht="12.75" x14ac:dyDescent="0.2">
      <c r="B53" s="181"/>
      <c r="C53" s="181"/>
      <c r="D53" s="181"/>
      <c r="E53" s="181"/>
      <c r="F53" s="21">
        <v>12</v>
      </c>
      <c r="G53" s="15">
        <f t="shared" si="2"/>
        <v>0</v>
      </c>
      <c r="H53" s="21">
        <v>0</v>
      </c>
      <c r="I53" s="21">
        <v>12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6" t="s">
        <v>24</v>
      </c>
      <c r="P53" s="9" t="s">
        <v>91</v>
      </c>
      <c r="Q53" s="181"/>
    </row>
    <row r="54" spans="2:17" ht="12.75" x14ac:dyDescent="0.2">
      <c r="B54" s="181"/>
      <c r="C54" s="182"/>
      <c r="D54" s="182"/>
      <c r="E54" s="182"/>
      <c r="F54" s="22">
        <v>12</v>
      </c>
      <c r="G54" s="18">
        <f t="shared" si="2"/>
        <v>0</v>
      </c>
      <c r="H54" s="22">
        <v>0</v>
      </c>
      <c r="I54" s="22">
        <v>12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44" t="s">
        <v>24</v>
      </c>
      <c r="P54" s="11" t="s">
        <v>92</v>
      </c>
      <c r="Q54" s="197"/>
    </row>
    <row r="55" spans="2:17" ht="12.75" x14ac:dyDescent="0.2">
      <c r="B55" s="181"/>
      <c r="C55" s="194">
        <v>240201524</v>
      </c>
      <c r="D55" s="180">
        <v>48</v>
      </c>
      <c r="E55" s="183" t="s">
        <v>93</v>
      </c>
      <c r="F55" s="15">
        <v>12</v>
      </c>
      <c r="G55" s="15">
        <f t="shared" si="2"/>
        <v>0</v>
      </c>
      <c r="H55" s="15">
        <v>0</v>
      </c>
      <c r="I55" s="15">
        <v>0</v>
      </c>
      <c r="J55" s="15">
        <v>12</v>
      </c>
      <c r="K55" s="15">
        <v>0</v>
      </c>
      <c r="L55" s="15">
        <v>0</v>
      </c>
      <c r="M55" s="15">
        <v>0</v>
      </c>
      <c r="N55" s="15">
        <v>0</v>
      </c>
      <c r="O55" s="15" t="s">
        <v>29</v>
      </c>
      <c r="P55" s="24" t="s">
        <v>94</v>
      </c>
      <c r="Q55" s="195"/>
    </row>
    <row r="56" spans="2:17" ht="12.75" x14ac:dyDescent="0.2">
      <c r="B56" s="181"/>
      <c r="C56" s="181"/>
      <c r="D56" s="181"/>
      <c r="E56" s="181"/>
      <c r="F56" s="15">
        <v>12</v>
      </c>
      <c r="G56" s="15">
        <f t="shared" si="2"/>
        <v>0</v>
      </c>
      <c r="H56" s="15"/>
      <c r="I56" s="15"/>
      <c r="J56" s="15">
        <v>12</v>
      </c>
      <c r="K56" s="15"/>
      <c r="L56" s="15"/>
      <c r="M56" s="15"/>
      <c r="N56" s="15"/>
      <c r="O56" s="15" t="s">
        <v>29</v>
      </c>
      <c r="P56" s="24" t="s">
        <v>95</v>
      </c>
      <c r="Q56" s="181"/>
    </row>
    <row r="57" spans="2:17" ht="12.75" x14ac:dyDescent="0.2">
      <c r="B57" s="181"/>
      <c r="C57" s="181"/>
      <c r="D57" s="181"/>
      <c r="E57" s="181"/>
      <c r="F57" s="23">
        <v>12</v>
      </c>
      <c r="G57" s="15">
        <f t="shared" si="2"/>
        <v>0</v>
      </c>
      <c r="H57" s="23">
        <v>0</v>
      </c>
      <c r="I57" s="23">
        <v>0</v>
      </c>
      <c r="J57" s="23">
        <v>12</v>
      </c>
      <c r="K57" s="23">
        <v>0</v>
      </c>
      <c r="L57" s="23">
        <v>0</v>
      </c>
      <c r="M57" s="23">
        <v>0</v>
      </c>
      <c r="N57" s="23">
        <v>0</v>
      </c>
      <c r="O57" s="15" t="s">
        <v>29</v>
      </c>
      <c r="P57" s="24" t="s">
        <v>96</v>
      </c>
      <c r="Q57" s="181"/>
    </row>
    <row r="58" spans="2:17" ht="12.75" x14ac:dyDescent="0.2">
      <c r="B58" s="181"/>
      <c r="C58" s="182"/>
      <c r="D58" s="182"/>
      <c r="E58" s="182"/>
      <c r="F58" s="25">
        <v>12</v>
      </c>
      <c r="G58" s="18">
        <f t="shared" si="2"/>
        <v>0</v>
      </c>
      <c r="H58" s="25">
        <v>0</v>
      </c>
      <c r="I58" s="25">
        <v>0</v>
      </c>
      <c r="J58" s="25">
        <v>12</v>
      </c>
      <c r="K58" s="25">
        <v>0</v>
      </c>
      <c r="L58" s="25">
        <v>0</v>
      </c>
      <c r="M58" s="25">
        <v>0</v>
      </c>
      <c r="N58" s="25">
        <v>0</v>
      </c>
      <c r="O58" s="18" t="s">
        <v>29</v>
      </c>
      <c r="P58" s="19" t="s">
        <v>97</v>
      </c>
      <c r="Q58" s="197"/>
    </row>
    <row r="59" spans="2:17" ht="12.75" x14ac:dyDescent="0.2">
      <c r="B59" s="181"/>
      <c r="C59" s="188">
        <v>240201526</v>
      </c>
      <c r="D59" s="189">
        <v>48</v>
      </c>
      <c r="E59" s="190" t="s">
        <v>98</v>
      </c>
      <c r="F59" s="6">
        <v>12</v>
      </c>
      <c r="G59" s="15">
        <f t="shared" si="2"/>
        <v>0</v>
      </c>
      <c r="H59" s="6">
        <v>0</v>
      </c>
      <c r="I59" s="6">
        <v>0</v>
      </c>
      <c r="J59" s="6">
        <v>12</v>
      </c>
      <c r="K59" s="6">
        <v>0</v>
      </c>
      <c r="L59" s="6">
        <v>0</v>
      </c>
      <c r="M59" s="6">
        <v>0</v>
      </c>
      <c r="N59" s="6">
        <v>0</v>
      </c>
      <c r="O59" s="6" t="s">
        <v>29</v>
      </c>
      <c r="P59" s="7" t="s">
        <v>99</v>
      </c>
      <c r="Q59" s="198"/>
    </row>
    <row r="60" spans="2:17" ht="12.75" x14ac:dyDescent="0.2">
      <c r="B60" s="181"/>
      <c r="C60" s="181"/>
      <c r="D60" s="181"/>
      <c r="E60" s="181"/>
      <c r="F60" s="21">
        <v>12</v>
      </c>
      <c r="G60" s="15">
        <f t="shared" si="2"/>
        <v>0</v>
      </c>
      <c r="H60" s="21">
        <v>0</v>
      </c>
      <c r="I60" s="21">
        <v>0</v>
      </c>
      <c r="J60" s="21">
        <v>12</v>
      </c>
      <c r="K60" s="21">
        <v>0</v>
      </c>
      <c r="L60" s="21">
        <v>0</v>
      </c>
      <c r="M60" s="21">
        <v>0</v>
      </c>
      <c r="N60" s="21">
        <v>0</v>
      </c>
      <c r="O60" s="6" t="s">
        <v>29</v>
      </c>
      <c r="P60" s="7" t="s">
        <v>100</v>
      </c>
      <c r="Q60" s="181"/>
    </row>
    <row r="61" spans="2:17" ht="12.75" x14ac:dyDescent="0.2">
      <c r="B61" s="181"/>
      <c r="C61" s="181"/>
      <c r="D61" s="181"/>
      <c r="E61" s="181"/>
      <c r="F61" s="21">
        <v>12</v>
      </c>
      <c r="G61" s="15">
        <f t="shared" si="2"/>
        <v>0</v>
      </c>
      <c r="H61" s="21">
        <v>0</v>
      </c>
      <c r="I61" s="21">
        <v>0</v>
      </c>
      <c r="J61" s="21">
        <v>12</v>
      </c>
      <c r="K61" s="21">
        <v>0</v>
      </c>
      <c r="L61" s="21">
        <v>0</v>
      </c>
      <c r="M61" s="21">
        <v>0</v>
      </c>
      <c r="N61" s="21">
        <v>0</v>
      </c>
      <c r="O61" s="6" t="s">
        <v>29</v>
      </c>
      <c r="P61" s="48" t="s">
        <v>101</v>
      </c>
      <c r="Q61" s="181"/>
    </row>
    <row r="62" spans="2:17" ht="12.75" x14ac:dyDescent="0.2">
      <c r="B62" s="181"/>
      <c r="C62" s="182"/>
      <c r="D62" s="182"/>
      <c r="E62" s="182"/>
      <c r="F62" s="49">
        <v>12</v>
      </c>
      <c r="G62" s="50">
        <f t="shared" si="2"/>
        <v>0</v>
      </c>
      <c r="H62" s="49">
        <v>0</v>
      </c>
      <c r="I62" s="49">
        <v>0</v>
      </c>
      <c r="J62" s="49">
        <v>12</v>
      </c>
      <c r="K62" s="49">
        <v>0</v>
      </c>
      <c r="L62" s="49">
        <v>0</v>
      </c>
      <c r="M62" s="49">
        <v>0</v>
      </c>
      <c r="N62" s="49">
        <v>0</v>
      </c>
      <c r="O62" s="44" t="s">
        <v>29</v>
      </c>
      <c r="P62" s="51" t="s">
        <v>102</v>
      </c>
      <c r="Q62" s="197"/>
    </row>
    <row r="63" spans="2:17" ht="12.75" x14ac:dyDescent="0.2">
      <c r="B63" s="181"/>
      <c r="C63" s="201">
        <v>220601501</v>
      </c>
      <c r="D63" s="204">
        <v>48</v>
      </c>
      <c r="E63" s="206" t="s">
        <v>103</v>
      </c>
      <c r="F63" s="52">
        <v>12</v>
      </c>
      <c r="G63" s="52">
        <f t="shared" si="2"/>
        <v>0</v>
      </c>
      <c r="H63" s="52">
        <v>0</v>
      </c>
      <c r="I63" s="52">
        <v>0</v>
      </c>
      <c r="J63" s="52">
        <v>0</v>
      </c>
      <c r="K63" s="52">
        <v>12</v>
      </c>
      <c r="L63" s="52">
        <v>0</v>
      </c>
      <c r="M63" s="52">
        <v>0</v>
      </c>
      <c r="N63" s="53">
        <v>0</v>
      </c>
      <c r="O63" s="15" t="s">
        <v>35</v>
      </c>
      <c r="P63" s="54" t="s">
        <v>104</v>
      </c>
      <c r="Q63" s="195"/>
    </row>
    <row r="64" spans="2:17" ht="12.75" x14ac:dyDescent="0.2">
      <c r="B64" s="181"/>
      <c r="C64" s="202"/>
      <c r="D64" s="181"/>
      <c r="E64" s="181"/>
      <c r="F64" s="46">
        <v>12</v>
      </c>
      <c r="G64" s="50">
        <f t="shared" si="2"/>
        <v>0</v>
      </c>
      <c r="H64" s="46">
        <v>0</v>
      </c>
      <c r="I64" s="46">
        <v>0</v>
      </c>
      <c r="J64" s="46">
        <v>0</v>
      </c>
      <c r="K64" s="46">
        <v>12</v>
      </c>
      <c r="L64" s="46">
        <v>0</v>
      </c>
      <c r="M64" s="46">
        <v>0</v>
      </c>
      <c r="N64" s="50">
        <v>0</v>
      </c>
      <c r="O64" s="15" t="s">
        <v>35</v>
      </c>
      <c r="P64" s="16" t="s">
        <v>105</v>
      </c>
      <c r="Q64" s="181"/>
    </row>
    <row r="65" spans="2:17" ht="12.75" x14ac:dyDescent="0.2">
      <c r="B65" s="181"/>
      <c r="C65" s="202"/>
      <c r="D65" s="181"/>
      <c r="E65" s="181"/>
      <c r="F65" s="50">
        <v>12</v>
      </c>
      <c r="G65" s="50">
        <f t="shared" si="2"/>
        <v>0</v>
      </c>
      <c r="H65" s="50">
        <v>0</v>
      </c>
      <c r="I65" s="50">
        <v>0</v>
      </c>
      <c r="J65" s="50">
        <v>0</v>
      </c>
      <c r="K65" s="50">
        <v>12</v>
      </c>
      <c r="L65" s="50">
        <v>0</v>
      </c>
      <c r="M65" s="50">
        <v>0</v>
      </c>
      <c r="N65" s="50">
        <v>0</v>
      </c>
      <c r="O65" s="15" t="s">
        <v>35</v>
      </c>
      <c r="P65" s="47" t="s">
        <v>106</v>
      </c>
      <c r="Q65" s="181"/>
    </row>
    <row r="66" spans="2:17" ht="12.75" x14ac:dyDescent="0.2">
      <c r="B66" s="181"/>
      <c r="C66" s="203"/>
      <c r="D66" s="205"/>
      <c r="E66" s="205"/>
      <c r="F66" s="55">
        <v>12</v>
      </c>
      <c r="G66" s="55">
        <f t="shared" si="2"/>
        <v>0</v>
      </c>
      <c r="H66" s="55">
        <v>0</v>
      </c>
      <c r="I66" s="55">
        <v>0</v>
      </c>
      <c r="J66" s="55">
        <v>0</v>
      </c>
      <c r="K66" s="55">
        <v>12</v>
      </c>
      <c r="L66" s="55">
        <v>0</v>
      </c>
      <c r="M66" s="55">
        <v>0</v>
      </c>
      <c r="N66" s="55">
        <v>0</v>
      </c>
      <c r="O66" s="18" t="s">
        <v>35</v>
      </c>
      <c r="P66" s="56" t="s">
        <v>107</v>
      </c>
      <c r="Q66" s="197"/>
    </row>
    <row r="67" spans="2:17" ht="12.75" x14ac:dyDescent="0.2">
      <c r="B67" s="181"/>
      <c r="C67" s="188">
        <v>230101507</v>
      </c>
      <c r="D67" s="189">
        <v>48</v>
      </c>
      <c r="E67" s="190" t="s">
        <v>108</v>
      </c>
      <c r="F67" s="6">
        <v>12</v>
      </c>
      <c r="G67" s="15">
        <f t="shared" si="2"/>
        <v>0</v>
      </c>
      <c r="H67" s="6">
        <v>0</v>
      </c>
      <c r="I67" s="6">
        <v>0</v>
      </c>
      <c r="J67" s="6">
        <v>0</v>
      </c>
      <c r="K67" s="6">
        <v>12</v>
      </c>
      <c r="L67" s="6">
        <v>0</v>
      </c>
      <c r="M67" s="6">
        <v>0</v>
      </c>
      <c r="N67" s="6">
        <v>0</v>
      </c>
      <c r="O67" s="6" t="s">
        <v>35</v>
      </c>
      <c r="P67" s="7" t="s">
        <v>109</v>
      </c>
      <c r="Q67" s="198"/>
    </row>
    <row r="68" spans="2:17" ht="12.75" x14ac:dyDescent="0.2">
      <c r="B68" s="181"/>
      <c r="C68" s="181"/>
      <c r="D68" s="181"/>
      <c r="E68" s="181"/>
      <c r="F68" s="21">
        <v>12</v>
      </c>
      <c r="G68" s="15">
        <f t="shared" si="2"/>
        <v>0</v>
      </c>
      <c r="H68" s="21">
        <v>0</v>
      </c>
      <c r="I68" s="21">
        <v>0</v>
      </c>
      <c r="J68" s="21">
        <v>0</v>
      </c>
      <c r="K68" s="21">
        <v>12</v>
      </c>
      <c r="L68" s="21">
        <v>0</v>
      </c>
      <c r="M68" s="21">
        <v>0</v>
      </c>
      <c r="N68" s="21">
        <v>0</v>
      </c>
      <c r="O68" s="6" t="s">
        <v>35</v>
      </c>
      <c r="P68" s="7" t="s">
        <v>110</v>
      </c>
      <c r="Q68" s="181"/>
    </row>
    <row r="69" spans="2:17" ht="12.75" x14ac:dyDescent="0.2">
      <c r="B69" s="181"/>
      <c r="C69" s="181"/>
      <c r="D69" s="181"/>
      <c r="E69" s="181"/>
      <c r="F69" s="21">
        <v>12</v>
      </c>
      <c r="G69" s="15">
        <f t="shared" si="2"/>
        <v>0</v>
      </c>
      <c r="H69" s="21">
        <v>0</v>
      </c>
      <c r="I69" s="21">
        <v>0</v>
      </c>
      <c r="J69" s="21">
        <v>0</v>
      </c>
      <c r="K69" s="21">
        <v>12</v>
      </c>
      <c r="L69" s="21">
        <v>0</v>
      </c>
      <c r="M69" s="21">
        <v>0</v>
      </c>
      <c r="N69" s="21">
        <v>0</v>
      </c>
      <c r="O69" s="6" t="s">
        <v>35</v>
      </c>
      <c r="P69" s="7" t="s">
        <v>111</v>
      </c>
      <c r="Q69" s="181"/>
    </row>
    <row r="70" spans="2:17" ht="12.75" x14ac:dyDescent="0.2">
      <c r="B70" s="181"/>
      <c r="C70" s="182"/>
      <c r="D70" s="182"/>
      <c r="E70" s="182"/>
      <c r="F70" s="49">
        <v>12</v>
      </c>
      <c r="G70" s="50">
        <f t="shared" si="2"/>
        <v>0</v>
      </c>
      <c r="H70" s="49">
        <v>0</v>
      </c>
      <c r="I70" s="49">
        <v>0</v>
      </c>
      <c r="J70" s="49">
        <v>0</v>
      </c>
      <c r="K70" s="49">
        <v>12</v>
      </c>
      <c r="L70" s="49">
        <v>0</v>
      </c>
      <c r="M70" s="49">
        <v>0</v>
      </c>
      <c r="N70" s="49">
        <v>0</v>
      </c>
      <c r="O70" s="44" t="s">
        <v>35</v>
      </c>
      <c r="P70" s="48" t="s">
        <v>112</v>
      </c>
      <c r="Q70" s="197"/>
    </row>
    <row r="71" spans="2:17" ht="12.75" x14ac:dyDescent="0.2">
      <c r="B71" s="181"/>
      <c r="C71" s="201">
        <v>240201529</v>
      </c>
      <c r="D71" s="204">
        <v>48</v>
      </c>
      <c r="E71" s="206" t="s">
        <v>113</v>
      </c>
      <c r="F71" s="52">
        <v>12</v>
      </c>
      <c r="G71" s="52">
        <f t="shared" si="2"/>
        <v>0</v>
      </c>
      <c r="H71" s="52">
        <v>0</v>
      </c>
      <c r="I71" s="52">
        <v>0</v>
      </c>
      <c r="J71" s="52">
        <v>0</v>
      </c>
      <c r="K71" s="52">
        <v>0</v>
      </c>
      <c r="L71" s="52">
        <v>12</v>
      </c>
      <c r="M71" s="52">
        <v>0</v>
      </c>
      <c r="N71" s="52">
        <v>0</v>
      </c>
      <c r="O71" s="15" t="s">
        <v>37</v>
      </c>
      <c r="P71" s="54" t="s">
        <v>114</v>
      </c>
      <c r="Q71" s="195"/>
    </row>
    <row r="72" spans="2:17" ht="12.75" x14ac:dyDescent="0.2">
      <c r="B72" s="181"/>
      <c r="C72" s="202"/>
      <c r="D72" s="181"/>
      <c r="E72" s="181"/>
      <c r="F72" s="15">
        <v>12</v>
      </c>
      <c r="G72" s="15">
        <f t="shared" si="2"/>
        <v>0</v>
      </c>
      <c r="H72" s="15">
        <v>0</v>
      </c>
      <c r="I72" s="15">
        <v>0</v>
      </c>
      <c r="J72" s="15">
        <v>0</v>
      </c>
      <c r="K72" s="15">
        <v>0</v>
      </c>
      <c r="L72" s="15">
        <v>12</v>
      </c>
      <c r="M72" s="15">
        <v>0</v>
      </c>
      <c r="N72" s="15">
        <v>0</v>
      </c>
      <c r="O72" s="15" t="s">
        <v>37</v>
      </c>
      <c r="P72" s="16" t="s">
        <v>115</v>
      </c>
      <c r="Q72" s="181"/>
    </row>
    <row r="73" spans="2:17" ht="12.75" x14ac:dyDescent="0.2">
      <c r="B73" s="181"/>
      <c r="C73" s="202"/>
      <c r="D73" s="181"/>
      <c r="E73" s="181"/>
      <c r="F73" s="15">
        <v>12</v>
      </c>
      <c r="G73" s="15">
        <f t="shared" si="2"/>
        <v>0</v>
      </c>
      <c r="H73" s="15">
        <v>0</v>
      </c>
      <c r="I73" s="15">
        <v>0</v>
      </c>
      <c r="J73" s="15">
        <v>0</v>
      </c>
      <c r="K73" s="15">
        <v>0</v>
      </c>
      <c r="L73" s="15">
        <v>12</v>
      </c>
      <c r="M73" s="15">
        <v>0</v>
      </c>
      <c r="N73" s="15">
        <v>0</v>
      </c>
      <c r="O73" s="15" t="s">
        <v>37</v>
      </c>
      <c r="P73" s="16" t="s">
        <v>116</v>
      </c>
      <c r="Q73" s="181"/>
    </row>
    <row r="74" spans="2:17" ht="12.75" x14ac:dyDescent="0.2">
      <c r="B74" s="181"/>
      <c r="C74" s="203"/>
      <c r="D74" s="205"/>
      <c r="E74" s="205"/>
      <c r="F74" s="55">
        <v>12</v>
      </c>
      <c r="G74" s="55">
        <f t="shared" si="2"/>
        <v>0</v>
      </c>
      <c r="H74" s="55">
        <v>0</v>
      </c>
      <c r="I74" s="55">
        <v>0</v>
      </c>
      <c r="J74" s="55">
        <v>0</v>
      </c>
      <c r="K74" s="55">
        <v>0</v>
      </c>
      <c r="L74" s="55">
        <v>12</v>
      </c>
      <c r="M74" s="55">
        <v>0</v>
      </c>
      <c r="N74" s="55">
        <v>0</v>
      </c>
      <c r="O74" s="18" t="s">
        <v>37</v>
      </c>
      <c r="P74" s="56" t="s">
        <v>117</v>
      </c>
      <c r="Q74" s="197"/>
    </row>
    <row r="75" spans="2:17" ht="12.75" x14ac:dyDescent="0.2">
      <c r="B75" s="181"/>
      <c r="C75" s="188">
        <v>210201501</v>
      </c>
      <c r="D75" s="189">
        <v>48</v>
      </c>
      <c r="E75" s="190" t="s">
        <v>118</v>
      </c>
      <c r="F75" s="6">
        <v>12</v>
      </c>
      <c r="G75" s="15">
        <f t="shared" si="2"/>
        <v>0</v>
      </c>
      <c r="H75" s="6">
        <v>0</v>
      </c>
      <c r="I75" s="6">
        <v>0</v>
      </c>
      <c r="J75" s="6">
        <v>0</v>
      </c>
      <c r="K75" s="6">
        <v>0</v>
      </c>
      <c r="L75" s="6">
        <v>12</v>
      </c>
      <c r="M75" s="6">
        <v>0</v>
      </c>
      <c r="N75" s="6">
        <v>0</v>
      </c>
      <c r="O75" s="6" t="s">
        <v>37</v>
      </c>
      <c r="P75" s="7" t="s">
        <v>119</v>
      </c>
      <c r="Q75" s="198"/>
    </row>
    <row r="76" spans="2:17" ht="12.75" x14ac:dyDescent="0.2">
      <c r="B76" s="181"/>
      <c r="C76" s="181"/>
      <c r="D76" s="181"/>
      <c r="E76" s="181"/>
      <c r="F76" s="21">
        <v>12</v>
      </c>
      <c r="G76" s="15">
        <f t="shared" si="2"/>
        <v>0</v>
      </c>
      <c r="H76" s="21">
        <v>0</v>
      </c>
      <c r="I76" s="21">
        <v>0</v>
      </c>
      <c r="J76" s="21">
        <v>0</v>
      </c>
      <c r="K76" s="21">
        <v>0</v>
      </c>
      <c r="L76" s="21">
        <v>12</v>
      </c>
      <c r="M76" s="21">
        <v>0</v>
      </c>
      <c r="N76" s="21">
        <v>0</v>
      </c>
      <c r="O76" s="6" t="s">
        <v>37</v>
      </c>
      <c r="P76" s="7" t="s">
        <v>120</v>
      </c>
      <c r="Q76" s="181"/>
    </row>
    <row r="77" spans="2:17" ht="12.75" x14ac:dyDescent="0.2">
      <c r="B77" s="181"/>
      <c r="C77" s="181"/>
      <c r="D77" s="181"/>
      <c r="E77" s="181"/>
      <c r="F77" s="21">
        <v>12</v>
      </c>
      <c r="G77" s="15">
        <f t="shared" si="2"/>
        <v>0</v>
      </c>
      <c r="H77" s="21">
        <v>0</v>
      </c>
      <c r="I77" s="21">
        <v>0</v>
      </c>
      <c r="J77" s="21">
        <v>0</v>
      </c>
      <c r="K77" s="21">
        <v>0</v>
      </c>
      <c r="L77" s="21">
        <v>12</v>
      </c>
      <c r="M77" s="21">
        <v>0</v>
      </c>
      <c r="N77" s="21">
        <v>0</v>
      </c>
      <c r="O77" s="6" t="s">
        <v>37</v>
      </c>
      <c r="P77" s="7" t="s">
        <v>121</v>
      </c>
      <c r="Q77" s="181"/>
    </row>
    <row r="78" spans="2:17" ht="30" customHeight="1" x14ac:dyDescent="0.2">
      <c r="B78" s="181"/>
      <c r="C78" s="182"/>
      <c r="D78" s="182"/>
      <c r="E78" s="182"/>
      <c r="F78" s="22">
        <v>12</v>
      </c>
      <c r="G78" s="18">
        <f t="shared" si="2"/>
        <v>0</v>
      </c>
      <c r="H78" s="22">
        <v>0</v>
      </c>
      <c r="I78" s="22">
        <v>0</v>
      </c>
      <c r="J78" s="22">
        <v>0</v>
      </c>
      <c r="K78" s="22">
        <v>0</v>
      </c>
      <c r="L78" s="22">
        <v>12</v>
      </c>
      <c r="M78" s="22">
        <v>0</v>
      </c>
      <c r="N78" s="22">
        <v>0</v>
      </c>
      <c r="O78" s="44" t="s">
        <v>37</v>
      </c>
      <c r="P78" s="7" t="s">
        <v>122</v>
      </c>
      <c r="Q78" s="197"/>
    </row>
    <row r="79" spans="2:17" ht="12.75" x14ac:dyDescent="0.2">
      <c r="B79" s="34"/>
      <c r="C79" s="34"/>
      <c r="D79" s="34"/>
      <c r="E79" s="57" t="s">
        <v>123</v>
      </c>
      <c r="F79" s="58">
        <f t="shared" ref="F79:N79" si="4">SUM(F32:F78)</f>
        <v>864</v>
      </c>
      <c r="G79" s="58">
        <f t="shared" si="4"/>
        <v>0</v>
      </c>
      <c r="H79" s="58">
        <f t="shared" si="4"/>
        <v>192</v>
      </c>
      <c r="I79" s="58">
        <f t="shared" si="4"/>
        <v>144</v>
      </c>
      <c r="J79" s="58">
        <f t="shared" si="4"/>
        <v>144</v>
      </c>
      <c r="K79" s="58">
        <f t="shared" si="4"/>
        <v>144</v>
      </c>
      <c r="L79" s="58">
        <f t="shared" si="4"/>
        <v>144</v>
      </c>
      <c r="M79" s="58">
        <f t="shared" si="4"/>
        <v>48</v>
      </c>
      <c r="N79" s="58">
        <f t="shared" si="4"/>
        <v>48</v>
      </c>
      <c r="O79" s="58"/>
      <c r="P79" s="58"/>
      <c r="Q79" s="58"/>
    </row>
    <row r="80" spans="2:17" ht="12.75" x14ac:dyDescent="0.2">
      <c r="O80" s="1"/>
    </row>
    <row r="81" spans="2:17" ht="47.25" x14ac:dyDescent="0.2">
      <c r="C81" s="41">
        <v>999999999</v>
      </c>
      <c r="D81" s="42">
        <v>864</v>
      </c>
      <c r="E81" s="43" t="s">
        <v>124</v>
      </c>
      <c r="F81" s="6">
        <v>864</v>
      </c>
      <c r="G81" s="15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/>
      <c r="P81" s="7" t="s">
        <v>125</v>
      </c>
      <c r="Q81" s="9"/>
    </row>
    <row r="82" spans="2:17" ht="12.75" x14ac:dyDescent="0.2">
      <c r="B82" s="59"/>
      <c r="C82" s="34"/>
      <c r="D82" s="34"/>
      <c r="E82" s="57" t="s">
        <v>126</v>
      </c>
      <c r="F82" s="58">
        <f>F81</f>
        <v>864</v>
      </c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</row>
    <row r="83" spans="2:17" ht="12.75" x14ac:dyDescent="0.2">
      <c r="O83" s="1"/>
    </row>
    <row r="84" spans="2:17" ht="28.5" customHeight="1" x14ac:dyDescent="0.2">
      <c r="C84" s="207" t="s">
        <v>127</v>
      </c>
      <c r="D84" s="182"/>
      <c r="E84" s="182"/>
      <c r="F84" s="60">
        <f>F82+F79+F30</f>
        <v>3936</v>
      </c>
      <c r="G84" s="60"/>
      <c r="H84" s="60">
        <f t="shared" ref="H84:N84" si="5">SUM(H3:H29,H32:H78)</f>
        <v>490</v>
      </c>
      <c r="I84" s="60">
        <f t="shared" si="5"/>
        <v>432</v>
      </c>
      <c r="J84" s="60">
        <f t="shared" si="5"/>
        <v>430</v>
      </c>
      <c r="K84" s="60">
        <f t="shared" si="5"/>
        <v>430</v>
      </c>
      <c r="L84" s="60">
        <f t="shared" si="5"/>
        <v>430</v>
      </c>
      <c r="M84" s="60">
        <f t="shared" si="5"/>
        <v>430</v>
      </c>
      <c r="N84" s="60">
        <f t="shared" si="5"/>
        <v>430</v>
      </c>
      <c r="O84" s="61"/>
    </row>
    <row r="85" spans="2:17" ht="12.75" x14ac:dyDescent="0.2">
      <c r="O85" s="1"/>
    </row>
    <row r="86" spans="2:17" ht="12.75" x14ac:dyDescent="0.2">
      <c r="O86" s="1"/>
    </row>
    <row r="87" spans="2:17" ht="12.75" x14ac:dyDescent="0.2">
      <c r="H87" s="1"/>
      <c r="O87" s="1"/>
    </row>
    <row r="88" spans="2:17" ht="12.75" x14ac:dyDescent="0.2">
      <c r="H88" s="1"/>
      <c r="O88" s="1"/>
    </row>
    <row r="89" spans="2:17" ht="12.75" x14ac:dyDescent="0.2">
      <c r="H89" s="1"/>
      <c r="O89" s="1"/>
    </row>
    <row r="90" spans="2:17" ht="12.75" x14ac:dyDescent="0.2">
      <c r="H90" s="1"/>
      <c r="O90" s="1"/>
    </row>
    <row r="91" spans="2:17" ht="12.75" x14ac:dyDescent="0.2">
      <c r="H91" s="1"/>
      <c r="O91" s="1"/>
    </row>
    <row r="92" spans="2:17" ht="12.75" x14ac:dyDescent="0.2">
      <c r="H92" s="1"/>
      <c r="O92" s="1"/>
    </row>
    <row r="93" spans="2:17" ht="12.75" x14ac:dyDescent="0.2">
      <c r="H93" s="1"/>
      <c r="O93" s="1"/>
    </row>
    <row r="94" spans="2:17" ht="12.75" x14ac:dyDescent="0.2">
      <c r="H94" s="1"/>
      <c r="O94" s="1"/>
    </row>
    <row r="95" spans="2:17" ht="12.75" x14ac:dyDescent="0.2">
      <c r="H95" s="1"/>
      <c r="O95" s="1"/>
    </row>
    <row r="96" spans="2:17" ht="12.75" x14ac:dyDescent="0.2">
      <c r="H96" s="1"/>
      <c r="O96" s="1"/>
    </row>
    <row r="97" spans="8:15" ht="12.75" x14ac:dyDescent="0.2">
      <c r="H97" s="1"/>
      <c r="O97" s="1"/>
    </row>
    <row r="98" spans="8:15" ht="12.75" x14ac:dyDescent="0.2">
      <c r="H98" s="1"/>
      <c r="O98" s="1"/>
    </row>
    <row r="99" spans="8:15" ht="12.75" x14ac:dyDescent="0.2">
      <c r="H99" s="1"/>
      <c r="O99" s="1"/>
    </row>
    <row r="100" spans="8:15" ht="12.75" x14ac:dyDescent="0.2">
      <c r="H100" s="1"/>
      <c r="O100" s="1"/>
    </row>
    <row r="101" spans="8:15" ht="12.75" x14ac:dyDescent="0.2">
      <c r="H101" s="1"/>
      <c r="O101" s="1"/>
    </row>
    <row r="102" spans="8:15" ht="12.75" x14ac:dyDescent="0.2">
      <c r="H102" s="1"/>
      <c r="O102" s="1"/>
    </row>
    <row r="103" spans="8:15" ht="12.75" x14ac:dyDescent="0.2">
      <c r="H103" s="1"/>
      <c r="O103" s="1"/>
    </row>
    <row r="104" spans="8:15" ht="12.75" x14ac:dyDescent="0.2">
      <c r="H104" s="1"/>
      <c r="O104" s="1"/>
    </row>
    <row r="105" spans="8:15" ht="12.75" x14ac:dyDescent="0.2">
      <c r="H105" s="1"/>
      <c r="O105" s="1"/>
    </row>
    <row r="106" spans="8:15" ht="12.75" x14ac:dyDescent="0.2">
      <c r="H106" s="1"/>
      <c r="O106" s="1"/>
    </row>
    <row r="107" spans="8:15" ht="12.75" x14ac:dyDescent="0.2">
      <c r="H107" s="1"/>
      <c r="O107" s="1"/>
    </row>
    <row r="108" spans="8:15" ht="12.75" x14ac:dyDescent="0.2">
      <c r="H108" s="1"/>
      <c r="O108" s="1"/>
    </row>
    <row r="109" spans="8:15" ht="12.75" x14ac:dyDescent="0.2">
      <c r="H109" s="1"/>
      <c r="O109" s="1"/>
    </row>
    <row r="110" spans="8:15" ht="12.75" x14ac:dyDescent="0.2">
      <c r="H110" s="1"/>
      <c r="O110" s="1"/>
    </row>
    <row r="111" spans="8:15" ht="12.75" x14ac:dyDescent="0.2">
      <c r="H111" s="1"/>
      <c r="O111" s="1"/>
    </row>
    <row r="112" spans="8:15" ht="12.75" x14ac:dyDescent="0.2">
      <c r="H112" s="1"/>
      <c r="O112" s="1"/>
    </row>
    <row r="113" spans="8:15" ht="12.75" x14ac:dyDescent="0.2">
      <c r="H113" s="1"/>
      <c r="O113" s="1"/>
    </row>
    <row r="114" spans="8:15" ht="12.75" x14ac:dyDescent="0.2">
      <c r="H114" s="1"/>
      <c r="O114" s="1"/>
    </row>
    <row r="115" spans="8:15" ht="12.75" x14ac:dyDescent="0.2">
      <c r="H115" s="1"/>
      <c r="O115" s="1"/>
    </row>
    <row r="116" spans="8:15" ht="12.75" x14ac:dyDescent="0.2">
      <c r="H116" s="1"/>
      <c r="O116" s="1"/>
    </row>
    <row r="117" spans="8:15" ht="12.75" x14ac:dyDescent="0.2">
      <c r="H117" s="1"/>
      <c r="O117" s="1"/>
    </row>
    <row r="118" spans="8:15" ht="12.75" x14ac:dyDescent="0.2">
      <c r="H118" s="1"/>
      <c r="O118" s="1"/>
    </row>
    <row r="119" spans="8:15" ht="12.75" x14ac:dyDescent="0.2">
      <c r="H119" s="1"/>
      <c r="O119" s="1"/>
    </row>
    <row r="120" spans="8:15" ht="12.75" x14ac:dyDescent="0.2">
      <c r="H120" s="1"/>
      <c r="O120" s="1"/>
    </row>
    <row r="121" spans="8:15" ht="12.75" x14ac:dyDescent="0.2">
      <c r="H121" s="1"/>
      <c r="O121" s="1"/>
    </row>
    <row r="122" spans="8:15" ht="12.75" x14ac:dyDescent="0.2">
      <c r="H122" s="1"/>
      <c r="O122" s="1"/>
    </row>
    <row r="123" spans="8:15" ht="12.75" x14ac:dyDescent="0.2">
      <c r="H123" s="1"/>
      <c r="O123" s="1"/>
    </row>
    <row r="124" spans="8:15" ht="12.75" x14ac:dyDescent="0.2">
      <c r="H124" s="1"/>
      <c r="O124" s="1"/>
    </row>
    <row r="125" spans="8:15" ht="12.75" x14ac:dyDescent="0.2">
      <c r="H125" s="1"/>
      <c r="O125" s="1"/>
    </row>
    <row r="126" spans="8:15" ht="12.75" x14ac:dyDescent="0.2">
      <c r="H126" s="1"/>
      <c r="O126" s="1"/>
    </row>
    <row r="127" spans="8:15" ht="12.75" x14ac:dyDescent="0.2">
      <c r="H127" s="1"/>
      <c r="O127" s="1"/>
    </row>
    <row r="128" spans="8:15" ht="12.75" x14ac:dyDescent="0.2">
      <c r="H128" s="1"/>
      <c r="O128" s="1"/>
    </row>
    <row r="129" spans="8:15" ht="12.75" x14ac:dyDescent="0.2">
      <c r="H129" s="1"/>
      <c r="O129" s="1"/>
    </row>
    <row r="130" spans="8:15" ht="12.75" x14ac:dyDescent="0.2">
      <c r="H130" s="1"/>
      <c r="O130" s="1"/>
    </row>
    <row r="131" spans="8:15" ht="12.75" x14ac:dyDescent="0.2">
      <c r="H131" s="1"/>
      <c r="O131" s="1"/>
    </row>
    <row r="132" spans="8:15" ht="12.75" x14ac:dyDescent="0.2">
      <c r="H132" s="1"/>
      <c r="O132" s="1"/>
    </row>
    <row r="133" spans="8:15" ht="12.75" x14ac:dyDescent="0.2">
      <c r="H133" s="1"/>
      <c r="O133" s="1"/>
    </row>
    <row r="134" spans="8:15" ht="12.75" x14ac:dyDescent="0.2">
      <c r="H134" s="1"/>
      <c r="O134" s="1"/>
    </row>
    <row r="135" spans="8:15" ht="12.75" x14ac:dyDescent="0.2">
      <c r="H135" s="1"/>
      <c r="O135" s="1"/>
    </row>
    <row r="136" spans="8:15" ht="12.75" x14ac:dyDescent="0.2">
      <c r="H136" s="1"/>
      <c r="O136" s="1"/>
    </row>
    <row r="137" spans="8:15" ht="12.75" x14ac:dyDescent="0.2">
      <c r="H137" s="1"/>
      <c r="O137" s="1"/>
    </row>
    <row r="138" spans="8:15" ht="12.75" x14ac:dyDescent="0.2">
      <c r="H138" s="1"/>
      <c r="O138" s="1"/>
    </row>
    <row r="139" spans="8:15" ht="12.75" x14ac:dyDescent="0.2">
      <c r="H139" s="1"/>
      <c r="O139" s="1"/>
    </row>
    <row r="140" spans="8:15" ht="12.75" x14ac:dyDescent="0.2">
      <c r="H140" s="1"/>
      <c r="O140" s="1"/>
    </row>
    <row r="141" spans="8:15" ht="12.75" x14ac:dyDescent="0.2">
      <c r="H141" s="1"/>
      <c r="O141" s="1"/>
    </row>
    <row r="142" spans="8:15" ht="12.75" x14ac:dyDescent="0.2">
      <c r="H142" s="1"/>
      <c r="O142" s="1"/>
    </row>
    <row r="143" spans="8:15" ht="12.75" x14ac:dyDescent="0.2">
      <c r="H143" s="1"/>
      <c r="O143" s="1"/>
    </row>
    <row r="144" spans="8:15" ht="12.75" x14ac:dyDescent="0.2">
      <c r="H144" s="1"/>
      <c r="O144" s="1"/>
    </row>
    <row r="145" spans="8:15" ht="12.75" x14ac:dyDescent="0.2">
      <c r="H145" s="1"/>
      <c r="O145" s="1"/>
    </row>
    <row r="146" spans="8:15" ht="12.75" x14ac:dyDescent="0.2">
      <c r="H146" s="1"/>
      <c r="O146" s="1"/>
    </row>
    <row r="147" spans="8:15" ht="12.75" x14ac:dyDescent="0.2">
      <c r="H147" s="1"/>
      <c r="O147" s="1"/>
    </row>
    <row r="148" spans="8:15" ht="12.75" x14ac:dyDescent="0.2">
      <c r="H148" s="1"/>
      <c r="O148" s="1"/>
    </row>
    <row r="149" spans="8:15" ht="12.75" x14ac:dyDescent="0.2">
      <c r="H149" s="1"/>
      <c r="O149" s="1"/>
    </row>
    <row r="150" spans="8:15" ht="12.75" x14ac:dyDescent="0.2">
      <c r="H150" s="1"/>
      <c r="O150" s="1"/>
    </row>
    <row r="151" spans="8:15" ht="12.75" x14ac:dyDescent="0.2">
      <c r="H151" s="1"/>
      <c r="O151" s="1"/>
    </row>
    <row r="152" spans="8:15" ht="12.75" x14ac:dyDescent="0.2">
      <c r="H152" s="1"/>
      <c r="O152" s="1"/>
    </row>
    <row r="153" spans="8:15" ht="12.75" x14ac:dyDescent="0.2">
      <c r="H153" s="1"/>
      <c r="O153" s="1"/>
    </row>
    <row r="154" spans="8:15" ht="12.75" x14ac:dyDescent="0.2">
      <c r="H154" s="1"/>
      <c r="O154" s="1"/>
    </row>
    <row r="155" spans="8:15" ht="12.75" x14ac:dyDescent="0.2">
      <c r="H155" s="1"/>
      <c r="O155" s="1"/>
    </row>
    <row r="156" spans="8:15" ht="12.75" x14ac:dyDescent="0.2">
      <c r="H156" s="1"/>
      <c r="O156" s="1"/>
    </row>
    <row r="157" spans="8:15" ht="12.75" x14ac:dyDescent="0.2">
      <c r="H157" s="1"/>
      <c r="O157" s="1"/>
    </row>
    <row r="158" spans="8:15" ht="12.75" x14ac:dyDescent="0.2">
      <c r="H158" s="1"/>
      <c r="O158" s="1"/>
    </row>
    <row r="159" spans="8:15" ht="12.75" x14ac:dyDescent="0.2">
      <c r="H159" s="1"/>
      <c r="O159" s="1"/>
    </row>
    <row r="160" spans="8:15" ht="12.75" x14ac:dyDescent="0.2">
      <c r="H160" s="1"/>
      <c r="O160" s="1"/>
    </row>
    <row r="161" spans="8:15" ht="12.75" x14ac:dyDescent="0.2">
      <c r="H161" s="1"/>
      <c r="O161" s="1"/>
    </row>
    <row r="162" spans="8:15" ht="12.75" x14ac:dyDescent="0.2">
      <c r="H162" s="1"/>
      <c r="O162" s="1"/>
    </row>
    <row r="163" spans="8:15" ht="12.75" x14ac:dyDescent="0.2">
      <c r="H163" s="1"/>
      <c r="O163" s="1"/>
    </row>
    <row r="164" spans="8:15" ht="12.75" x14ac:dyDescent="0.2">
      <c r="H164" s="1"/>
      <c r="O164" s="1"/>
    </row>
    <row r="165" spans="8:15" ht="12.75" x14ac:dyDescent="0.2">
      <c r="H165" s="1"/>
      <c r="O165" s="1"/>
    </row>
    <row r="166" spans="8:15" ht="12.75" x14ac:dyDescent="0.2">
      <c r="H166" s="1"/>
      <c r="O166" s="1"/>
    </row>
    <row r="167" spans="8:15" ht="12.75" x14ac:dyDescent="0.2">
      <c r="H167" s="1"/>
      <c r="O167" s="1"/>
    </row>
    <row r="168" spans="8:15" ht="12.75" x14ac:dyDescent="0.2">
      <c r="H168" s="1"/>
      <c r="O168" s="1"/>
    </row>
    <row r="169" spans="8:15" ht="12.75" x14ac:dyDescent="0.2">
      <c r="H169" s="1"/>
      <c r="O169" s="1"/>
    </row>
    <row r="170" spans="8:15" ht="12.75" x14ac:dyDescent="0.2">
      <c r="H170" s="1"/>
      <c r="O170" s="1"/>
    </row>
    <row r="171" spans="8:15" ht="12.75" x14ac:dyDescent="0.2">
      <c r="H171" s="1"/>
      <c r="O171" s="1"/>
    </row>
    <row r="172" spans="8:15" ht="12.75" x14ac:dyDescent="0.2">
      <c r="H172" s="1"/>
      <c r="O172" s="1"/>
    </row>
    <row r="173" spans="8:15" ht="12.75" x14ac:dyDescent="0.2">
      <c r="H173" s="1"/>
      <c r="O173" s="1"/>
    </row>
    <row r="174" spans="8:15" ht="12.75" x14ac:dyDescent="0.2">
      <c r="H174" s="1"/>
      <c r="O174" s="1"/>
    </row>
    <row r="175" spans="8:15" ht="12.75" x14ac:dyDescent="0.2">
      <c r="H175" s="1"/>
      <c r="O175" s="1"/>
    </row>
    <row r="176" spans="8:15" ht="12.75" x14ac:dyDescent="0.2">
      <c r="H176" s="1"/>
      <c r="O176" s="1"/>
    </row>
    <row r="177" spans="8:15" ht="12.75" x14ac:dyDescent="0.2">
      <c r="H177" s="1"/>
      <c r="O177" s="1"/>
    </row>
    <row r="178" spans="8:15" ht="12.75" x14ac:dyDescent="0.2">
      <c r="H178" s="1"/>
      <c r="O178" s="1"/>
    </row>
    <row r="179" spans="8:15" ht="12.75" x14ac:dyDescent="0.2">
      <c r="H179" s="1"/>
      <c r="O179" s="1"/>
    </row>
    <row r="180" spans="8:15" ht="12.75" x14ac:dyDescent="0.2">
      <c r="H180" s="1"/>
      <c r="O180" s="1"/>
    </row>
    <row r="181" spans="8:15" ht="12.75" x14ac:dyDescent="0.2">
      <c r="H181" s="1"/>
      <c r="O181" s="1"/>
    </row>
    <row r="182" spans="8:15" ht="12.75" x14ac:dyDescent="0.2">
      <c r="H182" s="1"/>
      <c r="O182" s="1"/>
    </row>
    <row r="183" spans="8:15" ht="12.75" x14ac:dyDescent="0.2">
      <c r="H183" s="1"/>
      <c r="O183" s="1"/>
    </row>
    <row r="184" spans="8:15" ht="12.75" x14ac:dyDescent="0.2">
      <c r="H184" s="1"/>
      <c r="O184" s="1"/>
    </row>
    <row r="185" spans="8:15" ht="12.75" x14ac:dyDescent="0.2">
      <c r="H185" s="1"/>
      <c r="O185" s="1"/>
    </row>
    <row r="186" spans="8:15" ht="12.75" x14ac:dyDescent="0.2">
      <c r="H186" s="1"/>
      <c r="O186" s="1"/>
    </row>
    <row r="187" spans="8:15" ht="12.75" x14ac:dyDescent="0.2">
      <c r="H187" s="1"/>
      <c r="O187" s="1"/>
    </row>
    <row r="188" spans="8:15" ht="12.75" x14ac:dyDescent="0.2">
      <c r="H188" s="1"/>
      <c r="O188" s="1"/>
    </row>
    <row r="189" spans="8:15" ht="12.75" x14ac:dyDescent="0.2">
      <c r="H189" s="1"/>
      <c r="O189" s="1"/>
    </row>
    <row r="190" spans="8:15" ht="12.75" x14ac:dyDescent="0.2">
      <c r="H190" s="1"/>
      <c r="O190" s="1"/>
    </row>
    <row r="191" spans="8:15" ht="12.75" x14ac:dyDescent="0.2">
      <c r="H191" s="1"/>
      <c r="O191" s="1"/>
    </row>
    <row r="192" spans="8:15" ht="12.75" x14ac:dyDescent="0.2">
      <c r="H192" s="1"/>
      <c r="O192" s="1"/>
    </row>
    <row r="193" spans="8:15" ht="12.75" x14ac:dyDescent="0.2">
      <c r="H193" s="1"/>
      <c r="O193" s="1"/>
    </row>
    <row r="194" spans="8:15" ht="12.75" x14ac:dyDescent="0.2">
      <c r="H194" s="1"/>
      <c r="O194" s="1"/>
    </row>
    <row r="195" spans="8:15" ht="12.75" x14ac:dyDescent="0.2">
      <c r="H195" s="1"/>
      <c r="O195" s="1"/>
    </row>
    <row r="196" spans="8:15" ht="12.75" x14ac:dyDescent="0.2">
      <c r="H196" s="1"/>
      <c r="O196" s="1"/>
    </row>
    <row r="197" spans="8:15" ht="12.75" x14ac:dyDescent="0.2">
      <c r="H197" s="1"/>
      <c r="O197" s="1"/>
    </row>
    <row r="198" spans="8:15" ht="12.75" x14ac:dyDescent="0.2">
      <c r="H198" s="1"/>
      <c r="O198" s="1"/>
    </row>
    <row r="199" spans="8:15" ht="12.75" x14ac:dyDescent="0.2">
      <c r="H199" s="1"/>
      <c r="O199" s="1"/>
    </row>
    <row r="200" spans="8:15" ht="12.75" x14ac:dyDescent="0.2">
      <c r="H200" s="1"/>
      <c r="O200" s="1"/>
    </row>
    <row r="201" spans="8:15" ht="12.75" x14ac:dyDescent="0.2">
      <c r="H201" s="1"/>
      <c r="O201" s="1"/>
    </row>
    <row r="202" spans="8:15" ht="12.75" x14ac:dyDescent="0.2">
      <c r="H202" s="1"/>
      <c r="O202" s="1"/>
    </row>
    <row r="203" spans="8:15" ht="12.75" x14ac:dyDescent="0.2">
      <c r="H203" s="1"/>
      <c r="O203" s="1"/>
    </row>
    <row r="204" spans="8:15" ht="12.75" x14ac:dyDescent="0.2">
      <c r="H204" s="1"/>
      <c r="O204" s="1"/>
    </row>
    <row r="205" spans="8:15" ht="12.75" x14ac:dyDescent="0.2">
      <c r="H205" s="1"/>
      <c r="O205" s="1"/>
    </row>
    <row r="206" spans="8:15" ht="12.75" x14ac:dyDescent="0.2">
      <c r="H206" s="1"/>
      <c r="O206" s="1"/>
    </row>
    <row r="207" spans="8:15" ht="12.75" x14ac:dyDescent="0.2">
      <c r="H207" s="1"/>
      <c r="O207" s="1"/>
    </row>
    <row r="208" spans="8:15" ht="12.75" x14ac:dyDescent="0.2">
      <c r="H208" s="1"/>
      <c r="O208" s="1"/>
    </row>
    <row r="209" spans="8:15" ht="12.75" x14ac:dyDescent="0.2">
      <c r="H209" s="1"/>
      <c r="O209" s="1"/>
    </row>
    <row r="210" spans="8:15" ht="12.75" x14ac:dyDescent="0.2">
      <c r="H210" s="1"/>
      <c r="O210" s="1"/>
    </row>
    <row r="211" spans="8:15" ht="12.75" x14ac:dyDescent="0.2">
      <c r="H211" s="1"/>
      <c r="O211" s="1"/>
    </row>
    <row r="212" spans="8:15" ht="12.75" x14ac:dyDescent="0.2">
      <c r="H212" s="1"/>
      <c r="O212" s="1"/>
    </row>
    <row r="213" spans="8:15" ht="12.75" x14ac:dyDescent="0.2">
      <c r="H213" s="1"/>
      <c r="O213" s="1"/>
    </row>
    <row r="214" spans="8:15" ht="12.75" x14ac:dyDescent="0.2">
      <c r="H214" s="1"/>
      <c r="O214" s="1"/>
    </row>
    <row r="215" spans="8:15" ht="12.75" x14ac:dyDescent="0.2">
      <c r="H215" s="1"/>
      <c r="O215" s="1"/>
    </row>
    <row r="216" spans="8:15" ht="12.75" x14ac:dyDescent="0.2">
      <c r="H216" s="1"/>
      <c r="O216" s="1"/>
    </row>
    <row r="217" spans="8:15" ht="12.75" x14ac:dyDescent="0.2">
      <c r="H217" s="1"/>
      <c r="O217" s="1"/>
    </row>
    <row r="218" spans="8:15" ht="12.75" x14ac:dyDescent="0.2">
      <c r="H218" s="1"/>
      <c r="O218" s="1"/>
    </row>
    <row r="219" spans="8:15" ht="12.75" x14ac:dyDescent="0.2">
      <c r="H219" s="1"/>
      <c r="O219" s="1"/>
    </row>
    <row r="220" spans="8:15" ht="12.75" x14ac:dyDescent="0.2">
      <c r="H220" s="1"/>
      <c r="O220" s="1"/>
    </row>
    <row r="221" spans="8:15" ht="12.75" x14ac:dyDescent="0.2">
      <c r="H221" s="1"/>
      <c r="O221" s="1"/>
    </row>
    <row r="222" spans="8:15" ht="12.75" x14ac:dyDescent="0.2">
      <c r="H222" s="1"/>
      <c r="O222" s="1"/>
    </row>
    <row r="223" spans="8:15" ht="12.75" x14ac:dyDescent="0.2">
      <c r="H223" s="1"/>
      <c r="O223" s="1"/>
    </row>
    <row r="224" spans="8:15" ht="12.75" x14ac:dyDescent="0.2">
      <c r="H224" s="1"/>
      <c r="O224" s="1"/>
    </row>
    <row r="225" spans="8:15" ht="12.75" x14ac:dyDescent="0.2">
      <c r="H225" s="1"/>
      <c r="O225" s="1"/>
    </row>
    <row r="226" spans="8:15" ht="12.75" x14ac:dyDescent="0.2">
      <c r="H226" s="1"/>
      <c r="O226" s="1"/>
    </row>
    <row r="227" spans="8:15" ht="12.75" x14ac:dyDescent="0.2">
      <c r="H227" s="1"/>
      <c r="O227" s="1"/>
    </row>
    <row r="228" spans="8:15" ht="12.75" x14ac:dyDescent="0.2">
      <c r="H228" s="1"/>
      <c r="O228" s="1"/>
    </row>
    <row r="229" spans="8:15" ht="12.75" x14ac:dyDescent="0.2">
      <c r="H229" s="1"/>
      <c r="O229" s="1"/>
    </row>
    <row r="230" spans="8:15" ht="12.75" x14ac:dyDescent="0.2">
      <c r="H230" s="1"/>
      <c r="O230" s="1"/>
    </row>
    <row r="231" spans="8:15" ht="12.75" x14ac:dyDescent="0.2">
      <c r="H231" s="1"/>
      <c r="O231" s="1"/>
    </row>
    <row r="232" spans="8:15" ht="12.75" x14ac:dyDescent="0.2">
      <c r="H232" s="1"/>
      <c r="O232" s="1"/>
    </row>
    <row r="233" spans="8:15" ht="12.75" x14ac:dyDescent="0.2">
      <c r="H233" s="1"/>
      <c r="O233" s="1"/>
    </row>
    <row r="234" spans="8:15" ht="12.75" x14ac:dyDescent="0.2">
      <c r="H234" s="1"/>
      <c r="O234" s="1"/>
    </row>
    <row r="235" spans="8:15" ht="12.75" x14ac:dyDescent="0.2">
      <c r="H235" s="1"/>
      <c r="O235" s="1"/>
    </row>
    <row r="236" spans="8:15" ht="12.75" x14ac:dyDescent="0.2">
      <c r="H236" s="1"/>
      <c r="O236" s="1"/>
    </row>
    <row r="237" spans="8:15" ht="12.75" x14ac:dyDescent="0.2">
      <c r="H237" s="1"/>
      <c r="O237" s="1"/>
    </row>
    <row r="238" spans="8:15" ht="12.75" x14ac:dyDescent="0.2">
      <c r="H238" s="1"/>
      <c r="O238" s="1"/>
    </row>
    <row r="239" spans="8:15" ht="12.75" x14ac:dyDescent="0.2">
      <c r="H239" s="1"/>
      <c r="O239" s="1"/>
    </row>
    <row r="240" spans="8:15" ht="12.75" x14ac:dyDescent="0.2">
      <c r="H240" s="1"/>
      <c r="O240" s="1"/>
    </row>
    <row r="241" spans="8:15" ht="12.75" x14ac:dyDescent="0.2">
      <c r="H241" s="1"/>
      <c r="O241" s="1"/>
    </row>
    <row r="242" spans="8:15" ht="12.75" x14ac:dyDescent="0.2">
      <c r="H242" s="1"/>
      <c r="O242" s="1"/>
    </row>
    <row r="243" spans="8:15" ht="12.75" x14ac:dyDescent="0.2">
      <c r="H243" s="1"/>
      <c r="O243" s="1"/>
    </row>
    <row r="244" spans="8:15" ht="12.75" x14ac:dyDescent="0.2">
      <c r="H244" s="1"/>
      <c r="O244" s="1"/>
    </row>
    <row r="245" spans="8:15" ht="12.75" x14ac:dyDescent="0.2">
      <c r="H245" s="1"/>
      <c r="O245" s="1"/>
    </row>
    <row r="246" spans="8:15" ht="12.75" x14ac:dyDescent="0.2">
      <c r="H246" s="1"/>
      <c r="O246" s="1"/>
    </row>
    <row r="247" spans="8:15" ht="12.75" x14ac:dyDescent="0.2">
      <c r="H247" s="1"/>
      <c r="O247" s="1"/>
    </row>
    <row r="248" spans="8:15" ht="12.75" x14ac:dyDescent="0.2">
      <c r="H248" s="1"/>
      <c r="O248" s="1"/>
    </row>
    <row r="249" spans="8:15" ht="12.75" x14ac:dyDescent="0.2">
      <c r="H249" s="1"/>
      <c r="O249" s="1"/>
    </row>
    <row r="250" spans="8:15" ht="12.75" x14ac:dyDescent="0.2">
      <c r="H250" s="1"/>
      <c r="O250" s="1"/>
    </row>
    <row r="251" spans="8:15" ht="12.75" x14ac:dyDescent="0.2">
      <c r="H251" s="1"/>
      <c r="O251" s="1"/>
    </row>
    <row r="252" spans="8:15" ht="12.75" x14ac:dyDescent="0.2">
      <c r="H252" s="1"/>
      <c r="O252" s="1"/>
    </row>
    <row r="253" spans="8:15" ht="12.75" x14ac:dyDescent="0.2">
      <c r="H253" s="1"/>
      <c r="O253" s="1"/>
    </row>
    <row r="254" spans="8:15" ht="12.75" x14ac:dyDescent="0.2">
      <c r="H254" s="1"/>
      <c r="O254" s="1"/>
    </row>
    <row r="255" spans="8:15" ht="12.75" x14ac:dyDescent="0.2">
      <c r="H255" s="1"/>
      <c r="O255" s="1"/>
    </row>
    <row r="256" spans="8:15" ht="12.75" x14ac:dyDescent="0.2">
      <c r="H256" s="1"/>
      <c r="O256" s="1"/>
    </row>
    <row r="257" spans="8:15" ht="12.75" x14ac:dyDescent="0.2">
      <c r="H257" s="1"/>
      <c r="O257" s="1"/>
    </row>
    <row r="258" spans="8:15" ht="12.75" x14ac:dyDescent="0.2">
      <c r="H258" s="1"/>
      <c r="O258" s="1"/>
    </row>
    <row r="259" spans="8:15" ht="12.75" x14ac:dyDescent="0.2">
      <c r="H259" s="1"/>
      <c r="O259" s="1"/>
    </row>
    <row r="260" spans="8:15" ht="12.75" x14ac:dyDescent="0.2">
      <c r="H260" s="1"/>
      <c r="O260" s="1"/>
    </row>
    <row r="261" spans="8:15" ht="12.75" x14ac:dyDescent="0.2">
      <c r="H261" s="1"/>
      <c r="O261" s="1"/>
    </row>
    <row r="262" spans="8:15" ht="12.75" x14ac:dyDescent="0.2">
      <c r="H262" s="1"/>
      <c r="O262" s="1"/>
    </row>
    <row r="263" spans="8:15" ht="12.75" x14ac:dyDescent="0.2">
      <c r="H263" s="1"/>
      <c r="O263" s="1"/>
    </row>
    <row r="264" spans="8:15" ht="12.75" x14ac:dyDescent="0.2">
      <c r="H264" s="1"/>
      <c r="O264" s="1"/>
    </row>
    <row r="265" spans="8:15" ht="12.75" x14ac:dyDescent="0.2">
      <c r="H265" s="1"/>
      <c r="O265" s="1"/>
    </row>
    <row r="266" spans="8:15" ht="12.75" x14ac:dyDescent="0.2">
      <c r="H266" s="1"/>
      <c r="O266" s="1"/>
    </row>
    <row r="267" spans="8:15" ht="12.75" x14ac:dyDescent="0.2">
      <c r="H267" s="1"/>
      <c r="O267" s="1"/>
    </row>
    <row r="268" spans="8:15" ht="12.75" x14ac:dyDescent="0.2">
      <c r="H268" s="1"/>
      <c r="O268" s="1"/>
    </row>
    <row r="269" spans="8:15" ht="12.75" x14ac:dyDescent="0.2">
      <c r="H269" s="1"/>
      <c r="O269" s="1"/>
    </row>
    <row r="270" spans="8:15" ht="12.75" x14ac:dyDescent="0.2">
      <c r="H270" s="1"/>
      <c r="O270" s="1"/>
    </row>
    <row r="271" spans="8:15" ht="12.75" x14ac:dyDescent="0.2">
      <c r="H271" s="1"/>
      <c r="O271" s="1"/>
    </row>
    <row r="272" spans="8:15" ht="12.75" x14ac:dyDescent="0.2">
      <c r="H272" s="1"/>
      <c r="O272" s="1"/>
    </row>
    <row r="273" spans="8:15" ht="12.75" x14ac:dyDescent="0.2">
      <c r="H273" s="1"/>
      <c r="O273" s="1"/>
    </row>
    <row r="274" spans="8:15" ht="12.75" x14ac:dyDescent="0.2">
      <c r="H274" s="1"/>
      <c r="O274" s="1"/>
    </row>
    <row r="275" spans="8:15" ht="12.75" x14ac:dyDescent="0.2">
      <c r="H275" s="1"/>
      <c r="O275" s="1"/>
    </row>
    <row r="276" spans="8:15" ht="12.75" x14ac:dyDescent="0.2">
      <c r="H276" s="1"/>
      <c r="O276" s="1"/>
    </row>
    <row r="277" spans="8:15" ht="12.75" x14ac:dyDescent="0.2">
      <c r="H277" s="1"/>
      <c r="O277" s="1"/>
    </row>
    <row r="278" spans="8:15" ht="12.75" x14ac:dyDescent="0.2">
      <c r="H278" s="1"/>
      <c r="O278" s="1"/>
    </row>
    <row r="279" spans="8:15" ht="12.75" x14ac:dyDescent="0.2">
      <c r="H279" s="1"/>
      <c r="O279" s="1"/>
    </row>
    <row r="280" spans="8:15" ht="12.75" x14ac:dyDescent="0.2">
      <c r="H280" s="1"/>
      <c r="O280" s="1"/>
    </row>
    <row r="281" spans="8:15" ht="12.75" x14ac:dyDescent="0.2">
      <c r="H281" s="1"/>
      <c r="O281" s="1"/>
    </row>
    <row r="282" spans="8:15" ht="12.75" x14ac:dyDescent="0.2">
      <c r="H282" s="1"/>
      <c r="O282" s="1"/>
    </row>
    <row r="283" spans="8:15" ht="12.75" x14ac:dyDescent="0.2">
      <c r="H283" s="1"/>
      <c r="O283" s="1"/>
    </row>
    <row r="284" spans="8:15" ht="12.75" x14ac:dyDescent="0.2">
      <c r="H284" s="1"/>
      <c r="O284" s="1"/>
    </row>
    <row r="285" spans="8:15" ht="12.75" x14ac:dyDescent="0.2">
      <c r="H285" s="1"/>
      <c r="O285" s="1"/>
    </row>
    <row r="286" spans="8:15" ht="12.75" x14ac:dyDescent="0.2">
      <c r="H286" s="1"/>
      <c r="O286" s="1"/>
    </row>
    <row r="287" spans="8:15" ht="12.75" x14ac:dyDescent="0.2">
      <c r="H287" s="1"/>
      <c r="O287" s="1"/>
    </row>
    <row r="288" spans="8:15" ht="12.75" x14ac:dyDescent="0.2">
      <c r="H288" s="1"/>
      <c r="O288" s="1"/>
    </row>
    <row r="289" spans="8:15" ht="12.75" x14ac:dyDescent="0.2">
      <c r="H289" s="1"/>
      <c r="O289" s="1"/>
    </row>
    <row r="290" spans="8:15" ht="12.75" x14ac:dyDescent="0.2">
      <c r="H290" s="1"/>
      <c r="O290" s="1"/>
    </row>
    <row r="291" spans="8:15" ht="12.75" x14ac:dyDescent="0.2">
      <c r="H291" s="1"/>
      <c r="O291" s="1"/>
    </row>
    <row r="292" spans="8:15" ht="12.75" x14ac:dyDescent="0.2">
      <c r="H292" s="1"/>
      <c r="O292" s="1"/>
    </row>
    <row r="293" spans="8:15" ht="12.75" x14ac:dyDescent="0.2">
      <c r="H293" s="1"/>
      <c r="O293" s="1"/>
    </row>
    <row r="294" spans="8:15" ht="12.75" x14ac:dyDescent="0.2">
      <c r="H294" s="1"/>
      <c r="O294" s="1"/>
    </row>
    <row r="295" spans="8:15" ht="12.75" x14ac:dyDescent="0.2">
      <c r="H295" s="1"/>
      <c r="O295" s="1"/>
    </row>
    <row r="296" spans="8:15" ht="12.75" x14ac:dyDescent="0.2">
      <c r="H296" s="1"/>
      <c r="O296" s="1"/>
    </row>
    <row r="297" spans="8:15" ht="12.75" x14ac:dyDescent="0.2">
      <c r="H297" s="1"/>
      <c r="O297" s="1"/>
    </row>
    <row r="298" spans="8:15" ht="12.75" x14ac:dyDescent="0.2">
      <c r="H298" s="1"/>
      <c r="O298" s="1"/>
    </row>
    <row r="299" spans="8:15" ht="12.75" x14ac:dyDescent="0.2">
      <c r="H299" s="1"/>
      <c r="O299" s="1"/>
    </row>
    <row r="300" spans="8:15" ht="12.75" x14ac:dyDescent="0.2">
      <c r="H300" s="1"/>
      <c r="O300" s="1"/>
    </row>
    <row r="301" spans="8:15" ht="12.75" x14ac:dyDescent="0.2">
      <c r="H301" s="1"/>
      <c r="O301" s="1"/>
    </row>
    <row r="302" spans="8:15" ht="12.75" x14ac:dyDescent="0.2">
      <c r="H302" s="1"/>
      <c r="O302" s="1"/>
    </row>
    <row r="303" spans="8:15" ht="12.75" x14ac:dyDescent="0.2">
      <c r="H303" s="1"/>
      <c r="O303" s="1"/>
    </row>
    <row r="304" spans="8:15" ht="12.75" x14ac:dyDescent="0.2">
      <c r="H304" s="1"/>
      <c r="O304" s="1"/>
    </row>
    <row r="305" spans="8:15" ht="12.75" x14ac:dyDescent="0.2">
      <c r="H305" s="1"/>
      <c r="O305" s="1"/>
    </row>
    <row r="306" spans="8:15" ht="12.75" x14ac:dyDescent="0.2">
      <c r="H306" s="1"/>
      <c r="O306" s="1"/>
    </row>
    <row r="307" spans="8:15" ht="12.75" x14ac:dyDescent="0.2">
      <c r="H307" s="1"/>
      <c r="O307" s="1"/>
    </row>
    <row r="308" spans="8:15" ht="12.75" x14ac:dyDescent="0.2">
      <c r="H308" s="1"/>
      <c r="O308" s="1"/>
    </row>
    <row r="309" spans="8:15" ht="12.75" x14ac:dyDescent="0.2">
      <c r="H309" s="1"/>
      <c r="O309" s="1"/>
    </row>
    <row r="310" spans="8:15" ht="12.75" x14ac:dyDescent="0.2">
      <c r="H310" s="1"/>
      <c r="O310" s="1"/>
    </row>
    <row r="311" spans="8:15" ht="12.75" x14ac:dyDescent="0.2">
      <c r="H311" s="1"/>
      <c r="O311" s="1"/>
    </row>
    <row r="312" spans="8:15" ht="12.75" x14ac:dyDescent="0.2">
      <c r="H312" s="1"/>
      <c r="O312" s="1"/>
    </row>
    <row r="313" spans="8:15" ht="12.75" x14ac:dyDescent="0.2">
      <c r="H313" s="1"/>
      <c r="O313" s="1"/>
    </row>
    <row r="314" spans="8:15" ht="12.75" x14ac:dyDescent="0.2">
      <c r="H314" s="1"/>
      <c r="O314" s="1"/>
    </row>
    <row r="315" spans="8:15" ht="12.75" x14ac:dyDescent="0.2">
      <c r="H315" s="1"/>
      <c r="O315" s="1"/>
    </row>
    <row r="316" spans="8:15" ht="12.75" x14ac:dyDescent="0.2">
      <c r="H316" s="1"/>
      <c r="O316" s="1"/>
    </row>
    <row r="317" spans="8:15" ht="12.75" x14ac:dyDescent="0.2">
      <c r="H317" s="1"/>
      <c r="O317" s="1"/>
    </row>
    <row r="318" spans="8:15" ht="12.75" x14ac:dyDescent="0.2">
      <c r="H318" s="1"/>
      <c r="O318" s="1"/>
    </row>
    <row r="319" spans="8:15" ht="12.75" x14ac:dyDescent="0.2">
      <c r="H319" s="1"/>
      <c r="O319" s="1"/>
    </row>
    <row r="320" spans="8:15" ht="12.75" x14ac:dyDescent="0.2">
      <c r="H320" s="1"/>
      <c r="O320" s="1"/>
    </row>
    <row r="321" spans="8:15" ht="12.75" x14ac:dyDescent="0.2">
      <c r="H321" s="1"/>
      <c r="O321" s="1"/>
    </row>
    <row r="322" spans="8:15" ht="12.75" x14ac:dyDescent="0.2">
      <c r="H322" s="1"/>
      <c r="O322" s="1"/>
    </row>
    <row r="323" spans="8:15" ht="12.75" x14ac:dyDescent="0.2">
      <c r="H323" s="1"/>
      <c r="O323" s="1"/>
    </row>
    <row r="324" spans="8:15" ht="12.75" x14ac:dyDescent="0.2">
      <c r="H324" s="1"/>
      <c r="O324" s="1"/>
    </row>
    <row r="325" spans="8:15" ht="12.75" x14ac:dyDescent="0.2">
      <c r="H325" s="1"/>
      <c r="O325" s="1"/>
    </row>
    <row r="326" spans="8:15" ht="12.75" x14ac:dyDescent="0.2">
      <c r="H326" s="1"/>
      <c r="O326" s="1"/>
    </row>
    <row r="327" spans="8:15" ht="12.75" x14ac:dyDescent="0.2">
      <c r="H327" s="1"/>
      <c r="O327" s="1"/>
    </row>
    <row r="328" spans="8:15" ht="12.75" x14ac:dyDescent="0.2">
      <c r="H328" s="1"/>
      <c r="O328" s="1"/>
    </row>
    <row r="329" spans="8:15" ht="12.75" x14ac:dyDescent="0.2">
      <c r="H329" s="1"/>
      <c r="O329" s="1"/>
    </row>
    <row r="330" spans="8:15" ht="12.75" x14ac:dyDescent="0.2">
      <c r="H330" s="1"/>
      <c r="O330" s="1"/>
    </row>
    <row r="331" spans="8:15" ht="12.75" x14ac:dyDescent="0.2">
      <c r="H331" s="1"/>
      <c r="O331" s="1"/>
    </row>
    <row r="332" spans="8:15" ht="12.75" x14ac:dyDescent="0.2">
      <c r="H332" s="1"/>
      <c r="O332" s="1"/>
    </row>
    <row r="333" spans="8:15" ht="12.75" x14ac:dyDescent="0.2">
      <c r="H333" s="1"/>
      <c r="O333" s="1"/>
    </row>
    <row r="334" spans="8:15" ht="12.75" x14ac:dyDescent="0.2">
      <c r="H334" s="1"/>
      <c r="O334" s="1"/>
    </row>
    <row r="335" spans="8:15" ht="12.75" x14ac:dyDescent="0.2">
      <c r="H335" s="1"/>
      <c r="O335" s="1"/>
    </row>
    <row r="336" spans="8:15" ht="12.75" x14ac:dyDescent="0.2">
      <c r="H336" s="1"/>
      <c r="O336" s="1"/>
    </row>
    <row r="337" spans="8:15" ht="12.75" x14ac:dyDescent="0.2">
      <c r="H337" s="1"/>
      <c r="O337" s="1"/>
    </row>
    <row r="338" spans="8:15" ht="12.75" x14ac:dyDescent="0.2">
      <c r="H338" s="1"/>
      <c r="O338" s="1"/>
    </row>
    <row r="339" spans="8:15" ht="12.75" x14ac:dyDescent="0.2">
      <c r="H339" s="1"/>
      <c r="O339" s="1"/>
    </row>
    <row r="340" spans="8:15" ht="12.75" x14ac:dyDescent="0.2">
      <c r="H340" s="1"/>
      <c r="O340" s="1"/>
    </row>
    <row r="341" spans="8:15" ht="12.75" x14ac:dyDescent="0.2">
      <c r="H341" s="1"/>
      <c r="O341" s="1"/>
    </row>
    <row r="342" spans="8:15" ht="12.75" x14ac:dyDescent="0.2">
      <c r="H342" s="1"/>
      <c r="O342" s="1"/>
    </row>
    <row r="343" spans="8:15" ht="12.75" x14ac:dyDescent="0.2">
      <c r="H343" s="1"/>
      <c r="O343" s="1"/>
    </row>
    <row r="344" spans="8:15" ht="12.75" x14ac:dyDescent="0.2">
      <c r="H344" s="1"/>
      <c r="O344" s="1"/>
    </row>
    <row r="345" spans="8:15" ht="12.75" x14ac:dyDescent="0.2">
      <c r="H345" s="1"/>
      <c r="O345" s="1"/>
    </row>
    <row r="346" spans="8:15" ht="12.75" x14ac:dyDescent="0.2">
      <c r="H346" s="1"/>
      <c r="O346" s="1"/>
    </row>
    <row r="347" spans="8:15" ht="12.75" x14ac:dyDescent="0.2">
      <c r="H347" s="1"/>
      <c r="O347" s="1"/>
    </row>
    <row r="348" spans="8:15" ht="12.75" x14ac:dyDescent="0.2">
      <c r="H348" s="1"/>
      <c r="O348" s="1"/>
    </row>
    <row r="349" spans="8:15" ht="12.75" x14ac:dyDescent="0.2">
      <c r="H349" s="1"/>
      <c r="O349" s="1"/>
    </row>
    <row r="350" spans="8:15" ht="12.75" x14ac:dyDescent="0.2">
      <c r="H350" s="1"/>
      <c r="O350" s="1"/>
    </row>
    <row r="351" spans="8:15" ht="12.75" x14ac:dyDescent="0.2">
      <c r="H351" s="1"/>
      <c r="O351" s="1"/>
    </row>
    <row r="352" spans="8:15" ht="12.75" x14ac:dyDescent="0.2">
      <c r="H352" s="1"/>
      <c r="O352" s="1"/>
    </row>
    <row r="353" spans="8:15" ht="12.75" x14ac:dyDescent="0.2">
      <c r="H353" s="1"/>
      <c r="O353" s="1"/>
    </row>
    <row r="354" spans="8:15" ht="12.75" x14ac:dyDescent="0.2">
      <c r="H354" s="1"/>
      <c r="O354" s="1"/>
    </row>
    <row r="355" spans="8:15" ht="12.75" x14ac:dyDescent="0.2">
      <c r="H355" s="1"/>
      <c r="O355" s="1"/>
    </row>
    <row r="356" spans="8:15" ht="12.75" x14ac:dyDescent="0.2">
      <c r="H356" s="1"/>
      <c r="O356" s="1"/>
    </row>
    <row r="357" spans="8:15" ht="12.75" x14ac:dyDescent="0.2">
      <c r="H357" s="1"/>
      <c r="O357" s="1"/>
    </row>
    <row r="358" spans="8:15" ht="12.75" x14ac:dyDescent="0.2">
      <c r="H358" s="1"/>
      <c r="O358" s="1"/>
    </row>
    <row r="359" spans="8:15" ht="12.75" x14ac:dyDescent="0.2">
      <c r="H359" s="1"/>
      <c r="O359" s="1"/>
    </row>
    <row r="360" spans="8:15" ht="12.75" x14ac:dyDescent="0.2">
      <c r="H360" s="1"/>
      <c r="O360" s="1"/>
    </row>
    <row r="361" spans="8:15" ht="12.75" x14ac:dyDescent="0.2">
      <c r="H361" s="1"/>
      <c r="O361" s="1"/>
    </row>
    <row r="362" spans="8:15" ht="12.75" x14ac:dyDescent="0.2">
      <c r="H362" s="1"/>
      <c r="O362" s="1"/>
    </row>
    <row r="363" spans="8:15" ht="12.75" x14ac:dyDescent="0.2">
      <c r="H363" s="1"/>
      <c r="O363" s="1"/>
    </row>
    <row r="364" spans="8:15" ht="12.75" x14ac:dyDescent="0.2">
      <c r="H364" s="1"/>
      <c r="O364" s="1"/>
    </row>
    <row r="365" spans="8:15" ht="12.75" x14ac:dyDescent="0.2">
      <c r="H365" s="1"/>
      <c r="O365" s="1"/>
    </row>
    <row r="366" spans="8:15" ht="12.75" x14ac:dyDescent="0.2">
      <c r="H366" s="1"/>
      <c r="O366" s="1"/>
    </row>
    <row r="367" spans="8:15" ht="12.75" x14ac:dyDescent="0.2">
      <c r="H367" s="1"/>
      <c r="O367" s="1"/>
    </row>
    <row r="368" spans="8:15" ht="12.75" x14ac:dyDescent="0.2">
      <c r="H368" s="1"/>
      <c r="O368" s="1"/>
    </row>
    <row r="369" spans="8:15" ht="12.75" x14ac:dyDescent="0.2">
      <c r="H369" s="1"/>
      <c r="O369" s="1"/>
    </row>
    <row r="370" spans="8:15" ht="12.75" x14ac:dyDescent="0.2">
      <c r="H370" s="1"/>
      <c r="O370" s="1"/>
    </row>
    <row r="371" spans="8:15" ht="12.75" x14ac:dyDescent="0.2">
      <c r="H371" s="1"/>
      <c r="O371" s="1"/>
    </row>
    <row r="372" spans="8:15" ht="12.75" x14ac:dyDescent="0.2">
      <c r="H372" s="1"/>
      <c r="O372" s="1"/>
    </row>
    <row r="373" spans="8:15" ht="12.75" x14ac:dyDescent="0.2">
      <c r="H373" s="1"/>
      <c r="O373" s="1"/>
    </row>
    <row r="374" spans="8:15" ht="12.75" x14ac:dyDescent="0.2">
      <c r="H374" s="1"/>
      <c r="O374" s="1"/>
    </row>
    <row r="375" spans="8:15" ht="12.75" x14ac:dyDescent="0.2">
      <c r="H375" s="1"/>
      <c r="O375" s="1"/>
    </row>
    <row r="376" spans="8:15" ht="12.75" x14ac:dyDescent="0.2">
      <c r="H376" s="1"/>
      <c r="O376" s="1"/>
    </row>
    <row r="377" spans="8:15" ht="12.75" x14ac:dyDescent="0.2">
      <c r="H377" s="1"/>
      <c r="O377" s="1"/>
    </row>
    <row r="378" spans="8:15" ht="12.75" x14ac:dyDescent="0.2">
      <c r="H378" s="1"/>
      <c r="O378" s="1"/>
    </row>
    <row r="379" spans="8:15" ht="12.75" x14ac:dyDescent="0.2">
      <c r="H379" s="1"/>
      <c r="O379" s="1"/>
    </row>
    <row r="380" spans="8:15" ht="12.75" x14ac:dyDescent="0.2">
      <c r="H380" s="1"/>
      <c r="O380" s="1"/>
    </row>
    <row r="381" spans="8:15" ht="12.75" x14ac:dyDescent="0.2">
      <c r="H381" s="1"/>
      <c r="O381" s="1"/>
    </row>
    <row r="382" spans="8:15" ht="12.75" x14ac:dyDescent="0.2">
      <c r="H382" s="1"/>
      <c r="O382" s="1"/>
    </row>
    <row r="383" spans="8:15" ht="12.75" x14ac:dyDescent="0.2">
      <c r="H383" s="1"/>
      <c r="O383" s="1"/>
    </row>
    <row r="384" spans="8:15" ht="12.75" x14ac:dyDescent="0.2">
      <c r="H384" s="1"/>
      <c r="O384" s="1"/>
    </row>
    <row r="385" spans="8:15" ht="12.75" x14ac:dyDescent="0.2">
      <c r="H385" s="1"/>
      <c r="O385" s="1"/>
    </row>
    <row r="386" spans="8:15" ht="12.75" x14ac:dyDescent="0.2">
      <c r="H386" s="1"/>
      <c r="O386" s="1"/>
    </row>
    <row r="387" spans="8:15" ht="12.75" x14ac:dyDescent="0.2">
      <c r="H387" s="1"/>
      <c r="O387" s="1"/>
    </row>
    <row r="388" spans="8:15" ht="12.75" x14ac:dyDescent="0.2">
      <c r="H388" s="1"/>
      <c r="O388" s="1"/>
    </row>
    <row r="389" spans="8:15" ht="12.75" x14ac:dyDescent="0.2">
      <c r="H389" s="1"/>
      <c r="O389" s="1"/>
    </row>
    <row r="390" spans="8:15" ht="12.75" x14ac:dyDescent="0.2">
      <c r="H390" s="1"/>
      <c r="O390" s="1"/>
    </row>
    <row r="391" spans="8:15" ht="12.75" x14ac:dyDescent="0.2">
      <c r="H391" s="1"/>
      <c r="O391" s="1"/>
    </row>
    <row r="392" spans="8:15" ht="12.75" x14ac:dyDescent="0.2">
      <c r="H392" s="1"/>
      <c r="O392" s="1"/>
    </row>
    <row r="393" spans="8:15" ht="12.75" x14ac:dyDescent="0.2">
      <c r="H393" s="1"/>
      <c r="O393" s="1"/>
    </row>
    <row r="394" spans="8:15" ht="12.75" x14ac:dyDescent="0.2">
      <c r="H394" s="1"/>
      <c r="O394" s="1"/>
    </row>
    <row r="395" spans="8:15" ht="12.75" x14ac:dyDescent="0.2">
      <c r="H395" s="1"/>
      <c r="O395" s="1"/>
    </row>
    <row r="396" spans="8:15" ht="12.75" x14ac:dyDescent="0.2">
      <c r="H396" s="1"/>
      <c r="O396" s="1"/>
    </row>
    <row r="397" spans="8:15" ht="12.75" x14ac:dyDescent="0.2">
      <c r="H397" s="1"/>
      <c r="O397" s="1"/>
    </row>
    <row r="398" spans="8:15" ht="12.75" x14ac:dyDescent="0.2">
      <c r="H398" s="1"/>
      <c r="O398" s="1"/>
    </row>
    <row r="399" spans="8:15" ht="12.75" x14ac:dyDescent="0.2">
      <c r="H399" s="1"/>
      <c r="O399" s="1"/>
    </row>
    <row r="400" spans="8:15" ht="12.75" x14ac:dyDescent="0.2">
      <c r="H400" s="1"/>
      <c r="O400" s="1"/>
    </row>
    <row r="401" spans="8:15" ht="12.75" x14ac:dyDescent="0.2">
      <c r="H401" s="1"/>
      <c r="O401" s="1"/>
    </row>
    <row r="402" spans="8:15" ht="12.75" x14ac:dyDescent="0.2">
      <c r="H402" s="1"/>
      <c r="O402" s="1"/>
    </row>
    <row r="403" spans="8:15" ht="12.75" x14ac:dyDescent="0.2">
      <c r="H403" s="1"/>
      <c r="O403" s="1"/>
    </row>
    <row r="404" spans="8:15" ht="12.75" x14ac:dyDescent="0.2">
      <c r="H404" s="1"/>
      <c r="O404" s="1"/>
    </row>
    <row r="405" spans="8:15" ht="12.75" x14ac:dyDescent="0.2">
      <c r="H405" s="1"/>
      <c r="O405" s="1"/>
    </row>
    <row r="406" spans="8:15" ht="12.75" x14ac:dyDescent="0.2">
      <c r="H406" s="1"/>
      <c r="O406" s="1"/>
    </row>
    <row r="407" spans="8:15" ht="12.75" x14ac:dyDescent="0.2">
      <c r="H407" s="1"/>
      <c r="O407" s="1"/>
    </row>
    <row r="408" spans="8:15" ht="12.75" x14ac:dyDescent="0.2">
      <c r="H408" s="1"/>
      <c r="O408" s="1"/>
    </row>
    <row r="409" spans="8:15" ht="12.75" x14ac:dyDescent="0.2">
      <c r="H409" s="1"/>
      <c r="O409" s="1"/>
    </row>
    <row r="410" spans="8:15" ht="12.75" x14ac:dyDescent="0.2">
      <c r="H410" s="1"/>
      <c r="O410" s="1"/>
    </row>
    <row r="411" spans="8:15" ht="12.75" x14ac:dyDescent="0.2">
      <c r="H411" s="1"/>
      <c r="O411" s="1"/>
    </row>
    <row r="412" spans="8:15" ht="12.75" x14ac:dyDescent="0.2">
      <c r="H412" s="1"/>
      <c r="O412" s="1"/>
    </row>
    <row r="413" spans="8:15" ht="12.75" x14ac:dyDescent="0.2">
      <c r="H413" s="1"/>
      <c r="O413" s="1"/>
    </row>
    <row r="414" spans="8:15" ht="12.75" x14ac:dyDescent="0.2">
      <c r="H414" s="1"/>
      <c r="O414" s="1"/>
    </row>
    <row r="415" spans="8:15" ht="12.75" x14ac:dyDescent="0.2">
      <c r="H415" s="1"/>
      <c r="O415" s="1"/>
    </row>
    <row r="416" spans="8:15" ht="12.75" x14ac:dyDescent="0.2">
      <c r="H416" s="1"/>
      <c r="O416" s="1"/>
    </row>
    <row r="417" spans="8:15" ht="12.75" x14ac:dyDescent="0.2">
      <c r="H417" s="1"/>
      <c r="O417" s="1"/>
    </row>
    <row r="418" spans="8:15" ht="12.75" x14ac:dyDescent="0.2">
      <c r="H418" s="1"/>
      <c r="O418" s="1"/>
    </row>
    <row r="419" spans="8:15" ht="12.75" x14ac:dyDescent="0.2">
      <c r="H419" s="1"/>
      <c r="O419" s="1"/>
    </row>
    <row r="420" spans="8:15" ht="12.75" x14ac:dyDescent="0.2">
      <c r="H420" s="1"/>
      <c r="O420" s="1"/>
    </row>
    <row r="421" spans="8:15" ht="12.75" x14ac:dyDescent="0.2">
      <c r="H421" s="1"/>
      <c r="O421" s="1"/>
    </row>
    <row r="422" spans="8:15" ht="12.75" x14ac:dyDescent="0.2">
      <c r="H422" s="1"/>
      <c r="O422" s="1"/>
    </row>
    <row r="423" spans="8:15" ht="12.75" x14ac:dyDescent="0.2">
      <c r="H423" s="1"/>
      <c r="O423" s="1"/>
    </row>
    <row r="424" spans="8:15" ht="12.75" x14ac:dyDescent="0.2">
      <c r="H424" s="1"/>
      <c r="O424" s="1"/>
    </row>
    <row r="425" spans="8:15" ht="12.75" x14ac:dyDescent="0.2">
      <c r="H425" s="1"/>
      <c r="O425" s="1"/>
    </row>
    <row r="426" spans="8:15" ht="12.75" x14ac:dyDescent="0.2">
      <c r="H426" s="1"/>
      <c r="O426" s="1"/>
    </row>
    <row r="427" spans="8:15" ht="12.75" x14ac:dyDescent="0.2">
      <c r="H427" s="1"/>
      <c r="O427" s="1"/>
    </row>
    <row r="428" spans="8:15" ht="12.75" x14ac:dyDescent="0.2">
      <c r="H428" s="1"/>
      <c r="O428" s="1"/>
    </row>
    <row r="429" spans="8:15" ht="12.75" x14ac:dyDescent="0.2">
      <c r="H429" s="1"/>
      <c r="O429" s="1"/>
    </row>
    <row r="430" spans="8:15" ht="12.75" x14ac:dyDescent="0.2">
      <c r="H430" s="1"/>
      <c r="O430" s="1"/>
    </row>
    <row r="431" spans="8:15" ht="12.75" x14ac:dyDescent="0.2">
      <c r="H431" s="1"/>
      <c r="O431" s="1"/>
    </row>
    <row r="432" spans="8:15" ht="12.75" x14ac:dyDescent="0.2">
      <c r="H432" s="1"/>
      <c r="O432" s="1"/>
    </row>
    <row r="433" spans="8:15" ht="12.75" x14ac:dyDescent="0.2">
      <c r="H433" s="1"/>
      <c r="O433" s="1"/>
    </row>
    <row r="434" spans="8:15" ht="12.75" x14ac:dyDescent="0.2">
      <c r="H434" s="1"/>
      <c r="O434" s="1"/>
    </row>
    <row r="435" spans="8:15" ht="12.75" x14ac:dyDescent="0.2">
      <c r="H435" s="1"/>
      <c r="O435" s="1"/>
    </row>
    <row r="436" spans="8:15" ht="12.75" x14ac:dyDescent="0.2">
      <c r="H436" s="1"/>
      <c r="O436" s="1"/>
    </row>
    <row r="437" spans="8:15" ht="12.75" x14ac:dyDescent="0.2">
      <c r="H437" s="1"/>
      <c r="O437" s="1"/>
    </row>
    <row r="438" spans="8:15" ht="12.75" x14ac:dyDescent="0.2">
      <c r="H438" s="1"/>
      <c r="O438" s="1"/>
    </row>
    <row r="439" spans="8:15" ht="12.75" x14ac:dyDescent="0.2">
      <c r="H439" s="1"/>
      <c r="O439" s="1"/>
    </row>
    <row r="440" spans="8:15" ht="12.75" x14ac:dyDescent="0.2">
      <c r="H440" s="1"/>
      <c r="O440" s="1"/>
    </row>
    <row r="441" spans="8:15" ht="12.75" x14ac:dyDescent="0.2">
      <c r="H441" s="1"/>
      <c r="O441" s="1"/>
    </row>
    <row r="442" spans="8:15" ht="12.75" x14ac:dyDescent="0.2">
      <c r="H442" s="1"/>
      <c r="O442" s="1"/>
    </row>
    <row r="443" spans="8:15" ht="12.75" x14ac:dyDescent="0.2">
      <c r="H443" s="1"/>
      <c r="O443" s="1"/>
    </row>
    <row r="444" spans="8:15" ht="12.75" x14ac:dyDescent="0.2">
      <c r="H444" s="1"/>
      <c r="O444" s="1"/>
    </row>
    <row r="445" spans="8:15" ht="12.75" x14ac:dyDescent="0.2">
      <c r="H445" s="1"/>
      <c r="O445" s="1"/>
    </row>
    <row r="446" spans="8:15" ht="12.75" x14ac:dyDescent="0.2">
      <c r="H446" s="1"/>
      <c r="O446" s="1"/>
    </row>
    <row r="447" spans="8:15" ht="12.75" x14ac:dyDescent="0.2">
      <c r="H447" s="1"/>
      <c r="O447" s="1"/>
    </row>
    <row r="448" spans="8:15" ht="12.75" x14ac:dyDescent="0.2">
      <c r="H448" s="1"/>
      <c r="O448" s="1"/>
    </row>
    <row r="449" spans="8:15" ht="12.75" x14ac:dyDescent="0.2">
      <c r="H449" s="1"/>
      <c r="O449" s="1"/>
    </row>
    <row r="450" spans="8:15" ht="12.75" x14ac:dyDescent="0.2">
      <c r="H450" s="1"/>
      <c r="O450" s="1"/>
    </row>
    <row r="451" spans="8:15" ht="12.75" x14ac:dyDescent="0.2">
      <c r="H451" s="1"/>
      <c r="O451" s="1"/>
    </row>
    <row r="452" spans="8:15" ht="12.75" x14ac:dyDescent="0.2">
      <c r="H452" s="1"/>
      <c r="O452" s="1"/>
    </row>
    <row r="453" spans="8:15" ht="12.75" x14ac:dyDescent="0.2">
      <c r="H453" s="1"/>
      <c r="O453" s="1"/>
    </row>
    <row r="454" spans="8:15" ht="12.75" x14ac:dyDescent="0.2">
      <c r="H454" s="1"/>
      <c r="O454" s="1"/>
    </row>
    <row r="455" spans="8:15" ht="12.75" x14ac:dyDescent="0.2">
      <c r="H455" s="1"/>
      <c r="O455" s="1"/>
    </row>
    <row r="456" spans="8:15" ht="12.75" x14ac:dyDescent="0.2">
      <c r="H456" s="1"/>
      <c r="O456" s="1"/>
    </row>
    <row r="457" spans="8:15" ht="12.75" x14ac:dyDescent="0.2">
      <c r="H457" s="1"/>
      <c r="O457" s="1"/>
    </row>
    <row r="458" spans="8:15" ht="12.75" x14ac:dyDescent="0.2">
      <c r="H458" s="1"/>
      <c r="O458" s="1"/>
    </row>
    <row r="459" spans="8:15" ht="12.75" x14ac:dyDescent="0.2">
      <c r="H459" s="1"/>
      <c r="O459" s="1"/>
    </row>
    <row r="460" spans="8:15" ht="12.75" x14ac:dyDescent="0.2">
      <c r="H460" s="1"/>
      <c r="O460" s="1"/>
    </row>
    <row r="461" spans="8:15" ht="12.75" x14ac:dyDescent="0.2">
      <c r="H461" s="1"/>
      <c r="O461" s="1"/>
    </row>
    <row r="462" spans="8:15" ht="12.75" x14ac:dyDescent="0.2">
      <c r="H462" s="1"/>
      <c r="O462" s="1"/>
    </row>
    <row r="463" spans="8:15" ht="12.75" x14ac:dyDescent="0.2">
      <c r="H463" s="1"/>
      <c r="O463" s="1"/>
    </row>
    <row r="464" spans="8:15" ht="12.75" x14ac:dyDescent="0.2">
      <c r="H464" s="1"/>
      <c r="O464" s="1"/>
    </row>
    <row r="465" spans="8:15" ht="12.75" x14ac:dyDescent="0.2">
      <c r="H465" s="1"/>
      <c r="O465" s="1"/>
    </row>
    <row r="466" spans="8:15" ht="12.75" x14ac:dyDescent="0.2">
      <c r="H466" s="1"/>
      <c r="O466" s="1"/>
    </row>
    <row r="467" spans="8:15" ht="12.75" x14ac:dyDescent="0.2">
      <c r="H467" s="1"/>
      <c r="O467" s="1"/>
    </row>
    <row r="468" spans="8:15" ht="12.75" x14ac:dyDescent="0.2">
      <c r="H468" s="1"/>
      <c r="O468" s="1"/>
    </row>
    <row r="469" spans="8:15" ht="12.75" x14ac:dyDescent="0.2">
      <c r="H469" s="1"/>
      <c r="O469" s="1"/>
    </row>
    <row r="470" spans="8:15" ht="12.75" x14ac:dyDescent="0.2">
      <c r="H470" s="1"/>
      <c r="O470" s="1"/>
    </row>
    <row r="471" spans="8:15" ht="12.75" x14ac:dyDescent="0.2">
      <c r="H471" s="1"/>
      <c r="O471" s="1"/>
    </row>
    <row r="472" spans="8:15" ht="12.75" x14ac:dyDescent="0.2">
      <c r="H472" s="1"/>
      <c r="O472" s="1"/>
    </row>
    <row r="473" spans="8:15" ht="12.75" x14ac:dyDescent="0.2">
      <c r="H473" s="1"/>
      <c r="O473" s="1"/>
    </row>
    <row r="474" spans="8:15" ht="12.75" x14ac:dyDescent="0.2">
      <c r="H474" s="1"/>
      <c r="O474" s="1"/>
    </row>
    <row r="475" spans="8:15" ht="12.75" x14ac:dyDescent="0.2">
      <c r="H475" s="1"/>
      <c r="O475" s="1"/>
    </row>
    <row r="476" spans="8:15" ht="12.75" x14ac:dyDescent="0.2">
      <c r="H476" s="1"/>
      <c r="O476" s="1"/>
    </row>
    <row r="477" spans="8:15" ht="12.75" x14ac:dyDescent="0.2">
      <c r="H477" s="1"/>
      <c r="O477" s="1"/>
    </row>
    <row r="478" spans="8:15" ht="12.75" x14ac:dyDescent="0.2">
      <c r="H478" s="1"/>
      <c r="O478" s="1"/>
    </row>
    <row r="479" spans="8:15" ht="12.75" x14ac:dyDescent="0.2">
      <c r="H479" s="1"/>
      <c r="O479" s="1"/>
    </row>
    <row r="480" spans="8:15" ht="12.75" x14ac:dyDescent="0.2">
      <c r="H480" s="1"/>
      <c r="O480" s="1"/>
    </row>
    <row r="481" spans="8:15" ht="12.75" x14ac:dyDescent="0.2">
      <c r="H481" s="1"/>
      <c r="O481" s="1"/>
    </row>
    <row r="482" spans="8:15" ht="12.75" x14ac:dyDescent="0.2">
      <c r="H482" s="1"/>
      <c r="O482" s="1"/>
    </row>
    <row r="483" spans="8:15" ht="12.75" x14ac:dyDescent="0.2">
      <c r="H483" s="1"/>
      <c r="O483" s="1"/>
    </row>
    <row r="484" spans="8:15" ht="12.75" x14ac:dyDescent="0.2">
      <c r="H484" s="1"/>
      <c r="O484" s="1"/>
    </row>
    <row r="485" spans="8:15" ht="12.75" x14ac:dyDescent="0.2">
      <c r="H485" s="1"/>
      <c r="O485" s="1"/>
    </row>
    <row r="486" spans="8:15" ht="12.75" x14ac:dyDescent="0.2">
      <c r="H486" s="1"/>
      <c r="O486" s="1"/>
    </row>
    <row r="487" spans="8:15" ht="12.75" x14ac:dyDescent="0.2">
      <c r="H487" s="1"/>
      <c r="O487" s="1"/>
    </row>
    <row r="488" spans="8:15" ht="12.75" x14ac:dyDescent="0.2">
      <c r="H488" s="1"/>
      <c r="O488" s="1"/>
    </row>
    <row r="489" spans="8:15" ht="12.75" x14ac:dyDescent="0.2">
      <c r="H489" s="1"/>
      <c r="O489" s="1"/>
    </row>
    <row r="490" spans="8:15" ht="12.75" x14ac:dyDescent="0.2">
      <c r="H490" s="1"/>
      <c r="O490" s="1"/>
    </row>
    <row r="491" spans="8:15" ht="12.75" x14ac:dyDescent="0.2">
      <c r="H491" s="1"/>
      <c r="O491" s="1"/>
    </row>
    <row r="492" spans="8:15" ht="12.75" x14ac:dyDescent="0.2">
      <c r="H492" s="1"/>
      <c r="O492" s="1"/>
    </row>
    <row r="493" spans="8:15" ht="12.75" x14ac:dyDescent="0.2">
      <c r="H493" s="1"/>
      <c r="O493" s="1"/>
    </row>
    <row r="494" spans="8:15" ht="12.75" x14ac:dyDescent="0.2">
      <c r="H494" s="1"/>
      <c r="O494" s="1"/>
    </row>
    <row r="495" spans="8:15" ht="12.75" x14ac:dyDescent="0.2">
      <c r="H495" s="1"/>
      <c r="O495" s="1"/>
    </row>
    <row r="496" spans="8:15" ht="12.75" x14ac:dyDescent="0.2">
      <c r="H496" s="1"/>
      <c r="O496" s="1"/>
    </row>
    <row r="497" spans="8:15" ht="12.75" x14ac:dyDescent="0.2">
      <c r="H497" s="1"/>
      <c r="O497" s="1"/>
    </row>
    <row r="498" spans="8:15" ht="12.75" x14ac:dyDescent="0.2">
      <c r="H498" s="1"/>
      <c r="O498" s="1"/>
    </row>
    <row r="499" spans="8:15" ht="12.75" x14ac:dyDescent="0.2">
      <c r="H499" s="1"/>
      <c r="O499" s="1"/>
    </row>
    <row r="500" spans="8:15" ht="12.75" x14ac:dyDescent="0.2">
      <c r="H500" s="1"/>
      <c r="O500" s="1"/>
    </row>
    <row r="501" spans="8:15" ht="12.75" x14ac:dyDescent="0.2">
      <c r="H501" s="1"/>
      <c r="O501" s="1"/>
    </row>
    <row r="502" spans="8:15" ht="12.75" x14ac:dyDescent="0.2">
      <c r="H502" s="1"/>
      <c r="O502" s="1"/>
    </row>
    <row r="503" spans="8:15" ht="12.75" x14ac:dyDescent="0.2">
      <c r="H503" s="1"/>
      <c r="O503" s="1"/>
    </row>
    <row r="504" spans="8:15" ht="12.75" x14ac:dyDescent="0.2">
      <c r="H504" s="1"/>
      <c r="O504" s="1"/>
    </row>
    <row r="505" spans="8:15" ht="12.75" x14ac:dyDescent="0.2">
      <c r="H505" s="1"/>
      <c r="O505" s="1"/>
    </row>
    <row r="506" spans="8:15" ht="12.75" x14ac:dyDescent="0.2">
      <c r="H506" s="1"/>
      <c r="O506" s="1"/>
    </row>
    <row r="507" spans="8:15" ht="12.75" x14ac:dyDescent="0.2">
      <c r="H507" s="1"/>
      <c r="O507" s="1"/>
    </row>
    <row r="508" spans="8:15" ht="12.75" x14ac:dyDescent="0.2">
      <c r="H508" s="1"/>
      <c r="O508" s="1"/>
    </row>
    <row r="509" spans="8:15" ht="12.75" x14ac:dyDescent="0.2">
      <c r="H509" s="1"/>
      <c r="O509" s="1"/>
    </row>
    <row r="510" spans="8:15" ht="12.75" x14ac:dyDescent="0.2">
      <c r="H510" s="1"/>
      <c r="O510" s="1"/>
    </row>
    <row r="511" spans="8:15" ht="12.75" x14ac:dyDescent="0.2">
      <c r="H511" s="1"/>
      <c r="O511" s="1"/>
    </row>
    <row r="512" spans="8:15" ht="12.75" x14ac:dyDescent="0.2">
      <c r="H512" s="1"/>
      <c r="O512" s="1"/>
    </row>
    <row r="513" spans="8:15" ht="12.75" x14ac:dyDescent="0.2">
      <c r="H513" s="1"/>
      <c r="O513" s="1"/>
    </row>
    <row r="514" spans="8:15" ht="12.75" x14ac:dyDescent="0.2">
      <c r="H514" s="1"/>
      <c r="O514" s="1"/>
    </row>
    <row r="515" spans="8:15" ht="12.75" x14ac:dyDescent="0.2">
      <c r="H515" s="1"/>
      <c r="O515" s="1"/>
    </row>
    <row r="516" spans="8:15" ht="12.75" x14ac:dyDescent="0.2">
      <c r="H516" s="1"/>
      <c r="O516" s="1"/>
    </row>
    <row r="517" spans="8:15" ht="12.75" x14ac:dyDescent="0.2">
      <c r="H517" s="1"/>
      <c r="O517" s="1"/>
    </row>
    <row r="518" spans="8:15" ht="12.75" x14ac:dyDescent="0.2">
      <c r="H518" s="1"/>
      <c r="O518" s="1"/>
    </row>
    <row r="519" spans="8:15" ht="12.75" x14ac:dyDescent="0.2">
      <c r="H519" s="1"/>
      <c r="O519" s="1"/>
    </row>
    <row r="520" spans="8:15" ht="12.75" x14ac:dyDescent="0.2">
      <c r="H520" s="1"/>
      <c r="O520" s="1"/>
    </row>
    <row r="521" spans="8:15" ht="12.75" x14ac:dyDescent="0.2">
      <c r="H521" s="1"/>
      <c r="O521" s="1"/>
    </row>
    <row r="522" spans="8:15" ht="12.75" x14ac:dyDescent="0.2">
      <c r="H522" s="1"/>
      <c r="O522" s="1"/>
    </row>
    <row r="523" spans="8:15" ht="12.75" x14ac:dyDescent="0.2">
      <c r="H523" s="1"/>
      <c r="O523" s="1"/>
    </row>
    <row r="524" spans="8:15" ht="12.75" x14ac:dyDescent="0.2">
      <c r="H524" s="1"/>
      <c r="O524" s="1"/>
    </row>
    <row r="525" spans="8:15" ht="12.75" x14ac:dyDescent="0.2">
      <c r="H525" s="1"/>
      <c r="O525" s="1"/>
    </row>
    <row r="526" spans="8:15" ht="12.75" x14ac:dyDescent="0.2">
      <c r="H526" s="1"/>
      <c r="O526" s="1"/>
    </row>
    <row r="527" spans="8:15" ht="12.75" x14ac:dyDescent="0.2">
      <c r="H527" s="1"/>
      <c r="O527" s="1"/>
    </row>
    <row r="528" spans="8:15" ht="12.75" x14ac:dyDescent="0.2">
      <c r="H528" s="1"/>
      <c r="O528" s="1"/>
    </row>
    <row r="529" spans="8:15" ht="12.75" x14ac:dyDescent="0.2">
      <c r="H529" s="1"/>
      <c r="O529" s="1"/>
    </row>
    <row r="530" spans="8:15" ht="12.75" x14ac:dyDescent="0.2">
      <c r="H530" s="1"/>
      <c r="O530" s="1"/>
    </row>
    <row r="531" spans="8:15" ht="12.75" x14ac:dyDescent="0.2">
      <c r="H531" s="1"/>
      <c r="O531" s="1"/>
    </row>
    <row r="532" spans="8:15" ht="12.75" x14ac:dyDescent="0.2">
      <c r="H532" s="1"/>
      <c r="O532" s="1"/>
    </row>
    <row r="533" spans="8:15" ht="12.75" x14ac:dyDescent="0.2">
      <c r="H533" s="1"/>
      <c r="O533" s="1"/>
    </row>
    <row r="534" spans="8:15" ht="12.75" x14ac:dyDescent="0.2">
      <c r="H534" s="1"/>
      <c r="O534" s="1"/>
    </row>
    <row r="535" spans="8:15" ht="12.75" x14ac:dyDescent="0.2">
      <c r="H535" s="1"/>
      <c r="O535" s="1"/>
    </row>
    <row r="536" spans="8:15" ht="12.75" x14ac:dyDescent="0.2">
      <c r="H536" s="1"/>
      <c r="O536" s="1"/>
    </row>
    <row r="537" spans="8:15" ht="12.75" x14ac:dyDescent="0.2">
      <c r="H537" s="1"/>
      <c r="O537" s="1"/>
    </row>
    <row r="538" spans="8:15" ht="12.75" x14ac:dyDescent="0.2">
      <c r="H538" s="1"/>
      <c r="O538" s="1"/>
    </row>
    <row r="539" spans="8:15" ht="12.75" x14ac:dyDescent="0.2">
      <c r="H539" s="1"/>
      <c r="O539" s="1"/>
    </row>
    <row r="540" spans="8:15" ht="12.75" x14ac:dyDescent="0.2">
      <c r="H540" s="1"/>
      <c r="O540" s="1"/>
    </row>
    <row r="541" spans="8:15" ht="12.75" x14ac:dyDescent="0.2">
      <c r="H541" s="1"/>
      <c r="O541" s="1"/>
    </row>
    <row r="542" spans="8:15" ht="12.75" x14ac:dyDescent="0.2">
      <c r="H542" s="1"/>
      <c r="O542" s="1"/>
    </row>
    <row r="543" spans="8:15" ht="12.75" x14ac:dyDescent="0.2">
      <c r="H543" s="1"/>
      <c r="O543" s="1"/>
    </row>
    <row r="544" spans="8:15" ht="12.75" x14ac:dyDescent="0.2">
      <c r="H544" s="1"/>
      <c r="O544" s="1"/>
    </row>
    <row r="545" spans="8:15" ht="12.75" x14ac:dyDescent="0.2">
      <c r="H545" s="1"/>
      <c r="O545" s="1"/>
    </row>
    <row r="546" spans="8:15" ht="12.75" x14ac:dyDescent="0.2">
      <c r="H546" s="1"/>
      <c r="O546" s="1"/>
    </row>
    <row r="547" spans="8:15" ht="12.75" x14ac:dyDescent="0.2">
      <c r="H547" s="1"/>
      <c r="O547" s="1"/>
    </row>
    <row r="548" spans="8:15" ht="12.75" x14ac:dyDescent="0.2">
      <c r="H548" s="1"/>
      <c r="O548" s="1"/>
    </row>
    <row r="549" spans="8:15" ht="12.75" x14ac:dyDescent="0.2">
      <c r="H549" s="1"/>
      <c r="O549" s="1"/>
    </row>
    <row r="550" spans="8:15" ht="12.75" x14ac:dyDescent="0.2">
      <c r="H550" s="1"/>
      <c r="O550" s="1"/>
    </row>
    <row r="551" spans="8:15" ht="12.75" x14ac:dyDescent="0.2">
      <c r="H551" s="1"/>
      <c r="O551" s="1"/>
    </row>
    <row r="552" spans="8:15" ht="12.75" x14ac:dyDescent="0.2">
      <c r="H552" s="1"/>
      <c r="O552" s="1"/>
    </row>
    <row r="553" spans="8:15" ht="12.75" x14ac:dyDescent="0.2">
      <c r="H553" s="1"/>
      <c r="O553" s="1"/>
    </row>
    <row r="554" spans="8:15" ht="12.75" x14ac:dyDescent="0.2">
      <c r="H554" s="1"/>
      <c r="O554" s="1"/>
    </row>
    <row r="555" spans="8:15" ht="12.75" x14ac:dyDescent="0.2">
      <c r="H555" s="1"/>
      <c r="O555" s="1"/>
    </row>
    <row r="556" spans="8:15" ht="12.75" x14ac:dyDescent="0.2">
      <c r="H556" s="1"/>
      <c r="O556" s="1"/>
    </row>
    <row r="557" spans="8:15" ht="12.75" x14ac:dyDescent="0.2">
      <c r="H557" s="1"/>
      <c r="O557" s="1"/>
    </row>
    <row r="558" spans="8:15" ht="12.75" x14ac:dyDescent="0.2">
      <c r="H558" s="1"/>
      <c r="O558" s="1"/>
    </row>
    <row r="559" spans="8:15" ht="12.75" x14ac:dyDescent="0.2">
      <c r="H559" s="1"/>
      <c r="O559" s="1"/>
    </row>
    <row r="560" spans="8:15" ht="12.75" x14ac:dyDescent="0.2">
      <c r="H560" s="1"/>
      <c r="O560" s="1"/>
    </row>
    <row r="561" spans="8:15" ht="12.75" x14ac:dyDescent="0.2">
      <c r="H561" s="1"/>
      <c r="O561" s="1"/>
    </row>
    <row r="562" spans="8:15" ht="12.75" x14ac:dyDescent="0.2">
      <c r="H562" s="1"/>
      <c r="O562" s="1"/>
    </row>
    <row r="563" spans="8:15" ht="12.75" x14ac:dyDescent="0.2">
      <c r="H563" s="1"/>
      <c r="O563" s="1"/>
    </row>
    <row r="564" spans="8:15" ht="12.75" x14ac:dyDescent="0.2">
      <c r="H564" s="1"/>
      <c r="O564" s="1"/>
    </row>
    <row r="565" spans="8:15" ht="12.75" x14ac:dyDescent="0.2">
      <c r="H565" s="1"/>
      <c r="O565" s="1"/>
    </row>
    <row r="566" spans="8:15" ht="12.75" x14ac:dyDescent="0.2">
      <c r="H566" s="1"/>
      <c r="O566" s="1"/>
    </row>
    <row r="567" spans="8:15" ht="12.75" x14ac:dyDescent="0.2">
      <c r="H567" s="1"/>
      <c r="O567" s="1"/>
    </row>
    <row r="568" spans="8:15" ht="12.75" x14ac:dyDescent="0.2">
      <c r="H568" s="1"/>
      <c r="O568" s="1"/>
    </row>
    <row r="569" spans="8:15" ht="12.75" x14ac:dyDescent="0.2">
      <c r="H569" s="1"/>
      <c r="O569" s="1"/>
    </row>
    <row r="570" spans="8:15" ht="12.75" x14ac:dyDescent="0.2">
      <c r="H570" s="1"/>
      <c r="O570" s="1"/>
    </row>
    <row r="571" spans="8:15" ht="12.75" x14ac:dyDescent="0.2">
      <c r="H571" s="1"/>
      <c r="O571" s="1"/>
    </row>
    <row r="572" spans="8:15" ht="12.75" x14ac:dyDescent="0.2">
      <c r="H572" s="1"/>
      <c r="O572" s="1"/>
    </row>
    <row r="573" spans="8:15" ht="12.75" x14ac:dyDescent="0.2">
      <c r="H573" s="1"/>
      <c r="O573" s="1"/>
    </row>
    <row r="574" spans="8:15" ht="12.75" x14ac:dyDescent="0.2">
      <c r="H574" s="1"/>
      <c r="O574" s="1"/>
    </row>
    <row r="575" spans="8:15" ht="12.75" x14ac:dyDescent="0.2">
      <c r="H575" s="1"/>
      <c r="O575" s="1"/>
    </row>
    <row r="576" spans="8:15" ht="12.75" x14ac:dyDescent="0.2">
      <c r="H576" s="1"/>
      <c r="O576" s="1"/>
    </row>
    <row r="577" spans="8:15" ht="12.75" x14ac:dyDescent="0.2">
      <c r="H577" s="1"/>
      <c r="O577" s="1"/>
    </row>
    <row r="578" spans="8:15" ht="12.75" x14ac:dyDescent="0.2">
      <c r="H578" s="1"/>
      <c r="O578" s="1"/>
    </row>
    <row r="579" spans="8:15" ht="12.75" x14ac:dyDescent="0.2">
      <c r="H579" s="1"/>
      <c r="O579" s="1"/>
    </row>
    <row r="580" spans="8:15" ht="12.75" x14ac:dyDescent="0.2">
      <c r="H580" s="1"/>
      <c r="O580" s="1"/>
    </row>
    <row r="581" spans="8:15" ht="12.75" x14ac:dyDescent="0.2">
      <c r="H581" s="1"/>
      <c r="O581" s="1"/>
    </row>
    <row r="582" spans="8:15" ht="12.75" x14ac:dyDescent="0.2">
      <c r="H582" s="1"/>
      <c r="O582" s="1"/>
    </row>
    <row r="583" spans="8:15" ht="12.75" x14ac:dyDescent="0.2">
      <c r="H583" s="1"/>
      <c r="O583" s="1"/>
    </row>
    <row r="584" spans="8:15" ht="12.75" x14ac:dyDescent="0.2">
      <c r="H584" s="1"/>
      <c r="O584" s="1"/>
    </row>
    <row r="585" spans="8:15" ht="12.75" x14ac:dyDescent="0.2">
      <c r="H585" s="1"/>
      <c r="O585" s="1"/>
    </row>
    <row r="586" spans="8:15" ht="12.75" x14ac:dyDescent="0.2">
      <c r="H586" s="1"/>
      <c r="O586" s="1"/>
    </row>
    <row r="587" spans="8:15" ht="12.75" x14ac:dyDescent="0.2">
      <c r="H587" s="1"/>
      <c r="O587" s="1"/>
    </row>
    <row r="588" spans="8:15" ht="12.75" x14ac:dyDescent="0.2">
      <c r="H588" s="1"/>
      <c r="O588" s="1"/>
    </row>
    <row r="589" spans="8:15" ht="12.75" x14ac:dyDescent="0.2">
      <c r="H589" s="1"/>
      <c r="O589" s="1"/>
    </row>
    <row r="590" spans="8:15" ht="12.75" x14ac:dyDescent="0.2">
      <c r="H590" s="1"/>
      <c r="O590" s="1"/>
    </row>
    <row r="591" spans="8:15" ht="12.75" x14ac:dyDescent="0.2">
      <c r="H591" s="1"/>
      <c r="O591" s="1"/>
    </row>
    <row r="592" spans="8:15" ht="12.75" x14ac:dyDescent="0.2">
      <c r="H592" s="1"/>
      <c r="O592" s="1"/>
    </row>
    <row r="593" spans="8:15" ht="12.75" x14ac:dyDescent="0.2">
      <c r="H593" s="1"/>
      <c r="O593" s="1"/>
    </row>
    <row r="594" spans="8:15" ht="12.75" x14ac:dyDescent="0.2">
      <c r="H594" s="1"/>
      <c r="O594" s="1"/>
    </row>
    <row r="595" spans="8:15" ht="12.75" x14ac:dyDescent="0.2">
      <c r="H595" s="1"/>
      <c r="O595" s="1"/>
    </row>
    <row r="596" spans="8:15" ht="12.75" x14ac:dyDescent="0.2">
      <c r="H596" s="1"/>
      <c r="O596" s="1"/>
    </row>
    <row r="597" spans="8:15" ht="12.75" x14ac:dyDescent="0.2">
      <c r="H597" s="1"/>
      <c r="O597" s="1"/>
    </row>
    <row r="598" spans="8:15" ht="12.75" x14ac:dyDescent="0.2">
      <c r="H598" s="1"/>
      <c r="O598" s="1"/>
    </row>
    <row r="599" spans="8:15" ht="12.75" x14ac:dyDescent="0.2">
      <c r="H599" s="1"/>
      <c r="O599" s="1"/>
    </row>
    <row r="600" spans="8:15" ht="12.75" x14ac:dyDescent="0.2">
      <c r="H600" s="1"/>
      <c r="O600" s="1"/>
    </row>
    <row r="601" spans="8:15" ht="12.75" x14ac:dyDescent="0.2">
      <c r="H601" s="1"/>
      <c r="O601" s="1"/>
    </row>
    <row r="602" spans="8:15" ht="12.75" x14ac:dyDescent="0.2">
      <c r="H602" s="1"/>
      <c r="O602" s="1"/>
    </row>
    <row r="603" spans="8:15" ht="12.75" x14ac:dyDescent="0.2">
      <c r="H603" s="1"/>
      <c r="O603" s="1"/>
    </row>
    <row r="604" spans="8:15" ht="12.75" x14ac:dyDescent="0.2">
      <c r="H604" s="1"/>
      <c r="O604" s="1"/>
    </row>
    <row r="605" spans="8:15" ht="12.75" x14ac:dyDescent="0.2">
      <c r="H605" s="1"/>
      <c r="O605" s="1"/>
    </row>
    <row r="606" spans="8:15" ht="12.75" x14ac:dyDescent="0.2">
      <c r="H606" s="1"/>
      <c r="O606" s="1"/>
    </row>
    <row r="607" spans="8:15" ht="12.75" x14ac:dyDescent="0.2">
      <c r="H607" s="1"/>
      <c r="O607" s="1"/>
    </row>
    <row r="608" spans="8:15" ht="12.75" x14ac:dyDescent="0.2">
      <c r="H608" s="1"/>
      <c r="O608" s="1"/>
    </row>
    <row r="609" spans="8:15" ht="12.75" x14ac:dyDescent="0.2">
      <c r="H609" s="1"/>
      <c r="O609" s="1"/>
    </row>
    <row r="610" spans="8:15" ht="12.75" x14ac:dyDescent="0.2">
      <c r="H610" s="1"/>
      <c r="O610" s="1"/>
    </row>
    <row r="611" spans="8:15" ht="12.75" x14ac:dyDescent="0.2">
      <c r="H611" s="1"/>
      <c r="O611" s="1"/>
    </row>
    <row r="612" spans="8:15" ht="12.75" x14ac:dyDescent="0.2">
      <c r="H612" s="1"/>
      <c r="O612" s="1"/>
    </row>
    <row r="613" spans="8:15" ht="12.75" x14ac:dyDescent="0.2">
      <c r="H613" s="1"/>
      <c r="O613" s="1"/>
    </row>
    <row r="614" spans="8:15" ht="12.75" x14ac:dyDescent="0.2">
      <c r="H614" s="1"/>
      <c r="O614" s="1"/>
    </row>
    <row r="615" spans="8:15" ht="12.75" x14ac:dyDescent="0.2">
      <c r="H615" s="1"/>
      <c r="O615" s="1"/>
    </row>
    <row r="616" spans="8:15" ht="12.75" x14ac:dyDescent="0.2">
      <c r="H616" s="1"/>
      <c r="O616" s="1"/>
    </row>
    <row r="617" spans="8:15" ht="12.75" x14ac:dyDescent="0.2">
      <c r="H617" s="1"/>
      <c r="O617" s="1"/>
    </row>
    <row r="618" spans="8:15" ht="12.75" x14ac:dyDescent="0.2">
      <c r="H618" s="1"/>
      <c r="O618" s="1"/>
    </row>
    <row r="619" spans="8:15" ht="12.75" x14ac:dyDescent="0.2">
      <c r="H619" s="1"/>
      <c r="O619" s="1"/>
    </row>
    <row r="620" spans="8:15" ht="12.75" x14ac:dyDescent="0.2">
      <c r="H620" s="1"/>
      <c r="O620" s="1"/>
    </row>
    <row r="621" spans="8:15" ht="12.75" x14ac:dyDescent="0.2">
      <c r="H621" s="1"/>
      <c r="O621" s="1"/>
    </row>
    <row r="622" spans="8:15" ht="12.75" x14ac:dyDescent="0.2">
      <c r="H622" s="1"/>
      <c r="O622" s="1"/>
    </row>
    <row r="623" spans="8:15" ht="12.75" x14ac:dyDescent="0.2">
      <c r="H623" s="1"/>
      <c r="O623" s="1"/>
    </row>
    <row r="624" spans="8:15" ht="12.75" x14ac:dyDescent="0.2">
      <c r="H624" s="1"/>
      <c r="O624" s="1"/>
    </row>
    <row r="625" spans="8:15" ht="12.75" x14ac:dyDescent="0.2">
      <c r="H625" s="1"/>
      <c r="O625" s="1"/>
    </row>
    <row r="626" spans="8:15" ht="12.75" x14ac:dyDescent="0.2">
      <c r="H626" s="1"/>
      <c r="O626" s="1"/>
    </row>
    <row r="627" spans="8:15" ht="12.75" x14ac:dyDescent="0.2">
      <c r="H627" s="1"/>
      <c r="O627" s="1"/>
    </row>
    <row r="628" spans="8:15" ht="12.75" x14ac:dyDescent="0.2">
      <c r="H628" s="1"/>
      <c r="O628" s="1"/>
    </row>
    <row r="629" spans="8:15" ht="12.75" x14ac:dyDescent="0.2">
      <c r="H629" s="1"/>
      <c r="O629" s="1"/>
    </row>
    <row r="630" spans="8:15" ht="12.75" x14ac:dyDescent="0.2">
      <c r="H630" s="1"/>
      <c r="O630" s="1"/>
    </row>
    <row r="631" spans="8:15" ht="12.75" x14ac:dyDescent="0.2">
      <c r="H631" s="1"/>
      <c r="O631" s="1"/>
    </row>
    <row r="632" spans="8:15" ht="12.75" x14ac:dyDescent="0.2">
      <c r="H632" s="1"/>
      <c r="O632" s="1"/>
    </row>
    <row r="633" spans="8:15" ht="12.75" x14ac:dyDescent="0.2">
      <c r="H633" s="1"/>
      <c r="O633" s="1"/>
    </row>
    <row r="634" spans="8:15" ht="12.75" x14ac:dyDescent="0.2">
      <c r="H634" s="1"/>
      <c r="O634" s="1"/>
    </row>
    <row r="635" spans="8:15" ht="12.75" x14ac:dyDescent="0.2">
      <c r="H635" s="1"/>
      <c r="O635" s="1"/>
    </row>
    <row r="636" spans="8:15" ht="12.75" x14ac:dyDescent="0.2">
      <c r="H636" s="1"/>
      <c r="O636" s="1"/>
    </row>
    <row r="637" spans="8:15" ht="12.75" x14ac:dyDescent="0.2">
      <c r="H637" s="1"/>
      <c r="O637" s="1"/>
    </row>
    <row r="638" spans="8:15" ht="12.75" x14ac:dyDescent="0.2">
      <c r="H638" s="1"/>
      <c r="O638" s="1"/>
    </row>
    <row r="639" spans="8:15" ht="12.75" x14ac:dyDescent="0.2">
      <c r="H639" s="1"/>
      <c r="O639" s="1"/>
    </row>
    <row r="640" spans="8:15" ht="12.75" x14ac:dyDescent="0.2">
      <c r="H640" s="1"/>
      <c r="O640" s="1"/>
    </row>
    <row r="641" spans="8:15" ht="12.75" x14ac:dyDescent="0.2">
      <c r="H641" s="1"/>
      <c r="O641" s="1"/>
    </row>
    <row r="642" spans="8:15" ht="12.75" x14ac:dyDescent="0.2">
      <c r="H642" s="1"/>
      <c r="O642" s="1"/>
    </row>
    <row r="643" spans="8:15" ht="12.75" x14ac:dyDescent="0.2">
      <c r="H643" s="1"/>
      <c r="O643" s="1"/>
    </row>
    <row r="644" spans="8:15" ht="12.75" x14ac:dyDescent="0.2">
      <c r="H644" s="1"/>
      <c r="O644" s="1"/>
    </row>
    <row r="645" spans="8:15" ht="12.75" x14ac:dyDescent="0.2">
      <c r="H645" s="1"/>
      <c r="O645" s="1"/>
    </row>
    <row r="646" spans="8:15" ht="12.75" x14ac:dyDescent="0.2">
      <c r="H646" s="1"/>
      <c r="O646" s="1"/>
    </row>
    <row r="647" spans="8:15" ht="12.75" x14ac:dyDescent="0.2">
      <c r="H647" s="1"/>
      <c r="O647" s="1"/>
    </row>
    <row r="648" spans="8:15" ht="12.75" x14ac:dyDescent="0.2">
      <c r="H648" s="1"/>
      <c r="O648" s="1"/>
    </row>
    <row r="649" spans="8:15" ht="12.75" x14ac:dyDescent="0.2">
      <c r="H649" s="1"/>
      <c r="O649" s="1"/>
    </row>
    <row r="650" spans="8:15" ht="12.75" x14ac:dyDescent="0.2">
      <c r="H650" s="1"/>
      <c r="O650" s="1"/>
    </row>
    <row r="651" spans="8:15" ht="12.75" x14ac:dyDescent="0.2">
      <c r="H651" s="1"/>
      <c r="O651" s="1"/>
    </row>
    <row r="652" spans="8:15" ht="12.75" x14ac:dyDescent="0.2">
      <c r="H652" s="1"/>
      <c r="O652" s="1"/>
    </row>
    <row r="653" spans="8:15" ht="12.75" x14ac:dyDescent="0.2">
      <c r="H653" s="1"/>
      <c r="O653" s="1"/>
    </row>
    <row r="654" spans="8:15" ht="12.75" x14ac:dyDescent="0.2">
      <c r="H654" s="1"/>
      <c r="O654" s="1"/>
    </row>
    <row r="655" spans="8:15" ht="12.75" x14ac:dyDescent="0.2">
      <c r="H655" s="1"/>
      <c r="O655" s="1"/>
    </row>
    <row r="656" spans="8:15" ht="12.75" x14ac:dyDescent="0.2">
      <c r="H656" s="1"/>
      <c r="O656" s="1"/>
    </row>
    <row r="657" spans="8:15" ht="12.75" x14ac:dyDescent="0.2">
      <c r="H657" s="1"/>
      <c r="O657" s="1"/>
    </row>
    <row r="658" spans="8:15" ht="12.75" x14ac:dyDescent="0.2">
      <c r="H658" s="1"/>
      <c r="O658" s="1"/>
    </row>
    <row r="659" spans="8:15" ht="12.75" x14ac:dyDescent="0.2">
      <c r="H659" s="1"/>
      <c r="O659" s="1"/>
    </row>
    <row r="660" spans="8:15" ht="12.75" x14ac:dyDescent="0.2">
      <c r="H660" s="1"/>
      <c r="O660" s="1"/>
    </row>
    <row r="661" spans="8:15" ht="12.75" x14ac:dyDescent="0.2">
      <c r="H661" s="1"/>
      <c r="O661" s="1"/>
    </row>
    <row r="662" spans="8:15" ht="12.75" x14ac:dyDescent="0.2">
      <c r="H662" s="1"/>
      <c r="O662" s="1"/>
    </row>
    <row r="663" spans="8:15" ht="12.75" x14ac:dyDescent="0.2">
      <c r="H663" s="1"/>
      <c r="O663" s="1"/>
    </row>
    <row r="664" spans="8:15" ht="12.75" x14ac:dyDescent="0.2">
      <c r="H664" s="1"/>
      <c r="O664" s="1"/>
    </row>
    <row r="665" spans="8:15" ht="12.75" x14ac:dyDescent="0.2">
      <c r="H665" s="1"/>
      <c r="O665" s="1"/>
    </row>
    <row r="666" spans="8:15" ht="12.75" x14ac:dyDescent="0.2">
      <c r="H666" s="1"/>
      <c r="O666" s="1"/>
    </row>
    <row r="667" spans="8:15" ht="12.75" x14ac:dyDescent="0.2">
      <c r="H667" s="1"/>
      <c r="O667" s="1"/>
    </row>
    <row r="668" spans="8:15" ht="12.75" x14ac:dyDescent="0.2">
      <c r="H668" s="1"/>
      <c r="O668" s="1"/>
    </row>
    <row r="669" spans="8:15" ht="12.75" x14ac:dyDescent="0.2">
      <c r="H669" s="1"/>
      <c r="O669" s="1"/>
    </row>
    <row r="670" spans="8:15" ht="12.75" x14ac:dyDescent="0.2">
      <c r="H670" s="1"/>
      <c r="O670" s="1"/>
    </row>
    <row r="671" spans="8:15" ht="12.75" x14ac:dyDescent="0.2">
      <c r="H671" s="1"/>
      <c r="O671" s="1"/>
    </row>
    <row r="672" spans="8:15" ht="12.75" x14ac:dyDescent="0.2">
      <c r="H672" s="1"/>
      <c r="O672" s="1"/>
    </row>
    <row r="673" spans="8:15" ht="12.75" x14ac:dyDescent="0.2">
      <c r="H673" s="1"/>
      <c r="O673" s="1"/>
    </row>
    <row r="674" spans="8:15" ht="12.75" x14ac:dyDescent="0.2">
      <c r="H674" s="1"/>
      <c r="O674" s="1"/>
    </row>
    <row r="675" spans="8:15" ht="12.75" x14ac:dyDescent="0.2">
      <c r="H675" s="1"/>
      <c r="O675" s="1"/>
    </row>
    <row r="676" spans="8:15" ht="12.75" x14ac:dyDescent="0.2">
      <c r="H676" s="1"/>
      <c r="O676" s="1"/>
    </row>
    <row r="677" spans="8:15" ht="12.75" x14ac:dyDescent="0.2">
      <c r="H677" s="1"/>
      <c r="O677" s="1"/>
    </row>
    <row r="678" spans="8:15" ht="12.75" x14ac:dyDescent="0.2">
      <c r="H678" s="1"/>
      <c r="O678" s="1"/>
    </row>
    <row r="679" spans="8:15" ht="12.75" x14ac:dyDescent="0.2">
      <c r="H679" s="1"/>
      <c r="O679" s="1"/>
    </row>
    <row r="680" spans="8:15" ht="12.75" x14ac:dyDescent="0.2">
      <c r="H680" s="1"/>
      <c r="O680" s="1"/>
    </row>
    <row r="681" spans="8:15" ht="12.75" x14ac:dyDescent="0.2">
      <c r="H681" s="1"/>
      <c r="O681" s="1"/>
    </row>
    <row r="682" spans="8:15" ht="12.75" x14ac:dyDescent="0.2">
      <c r="H682" s="1"/>
      <c r="O682" s="1"/>
    </row>
    <row r="683" spans="8:15" ht="12.75" x14ac:dyDescent="0.2">
      <c r="H683" s="1"/>
      <c r="O683" s="1"/>
    </row>
    <row r="684" spans="8:15" ht="12.75" x14ac:dyDescent="0.2">
      <c r="H684" s="1"/>
      <c r="O684" s="1"/>
    </row>
    <row r="685" spans="8:15" ht="12.75" x14ac:dyDescent="0.2">
      <c r="H685" s="1"/>
      <c r="O685" s="1"/>
    </row>
    <row r="686" spans="8:15" ht="12.75" x14ac:dyDescent="0.2">
      <c r="H686" s="1"/>
      <c r="O686" s="1"/>
    </row>
    <row r="687" spans="8:15" ht="12.75" x14ac:dyDescent="0.2">
      <c r="H687" s="1"/>
      <c r="O687" s="1"/>
    </row>
    <row r="688" spans="8:15" ht="12.75" x14ac:dyDescent="0.2">
      <c r="H688" s="1"/>
      <c r="O688" s="1"/>
    </row>
    <row r="689" spans="8:15" ht="12.75" x14ac:dyDescent="0.2">
      <c r="H689" s="1"/>
      <c r="O689" s="1"/>
    </row>
    <row r="690" spans="8:15" ht="12.75" x14ac:dyDescent="0.2">
      <c r="H690" s="1"/>
      <c r="O690" s="1"/>
    </row>
    <row r="691" spans="8:15" ht="12.75" x14ac:dyDescent="0.2">
      <c r="H691" s="1"/>
      <c r="O691" s="1"/>
    </row>
    <row r="692" spans="8:15" ht="12.75" x14ac:dyDescent="0.2">
      <c r="H692" s="1"/>
      <c r="O692" s="1"/>
    </row>
    <row r="693" spans="8:15" ht="12.75" x14ac:dyDescent="0.2">
      <c r="H693" s="1"/>
      <c r="O693" s="1"/>
    </row>
    <row r="694" spans="8:15" ht="12.75" x14ac:dyDescent="0.2">
      <c r="H694" s="1"/>
      <c r="O694" s="1"/>
    </row>
    <row r="695" spans="8:15" ht="12.75" x14ac:dyDescent="0.2">
      <c r="H695" s="1"/>
      <c r="O695" s="1"/>
    </row>
    <row r="696" spans="8:15" ht="12.75" x14ac:dyDescent="0.2">
      <c r="H696" s="1"/>
      <c r="O696" s="1"/>
    </row>
    <row r="697" spans="8:15" ht="12.75" x14ac:dyDescent="0.2">
      <c r="H697" s="1"/>
      <c r="O697" s="1"/>
    </row>
    <row r="698" spans="8:15" ht="12.75" x14ac:dyDescent="0.2">
      <c r="H698" s="1"/>
      <c r="O698" s="1"/>
    </row>
    <row r="699" spans="8:15" ht="12.75" x14ac:dyDescent="0.2">
      <c r="H699" s="1"/>
      <c r="O699" s="1"/>
    </row>
    <row r="700" spans="8:15" ht="12.75" x14ac:dyDescent="0.2">
      <c r="H700" s="1"/>
      <c r="O700" s="1"/>
    </row>
    <row r="701" spans="8:15" ht="12.75" x14ac:dyDescent="0.2">
      <c r="H701" s="1"/>
      <c r="O701" s="1"/>
    </row>
    <row r="702" spans="8:15" ht="12.75" x14ac:dyDescent="0.2">
      <c r="H702" s="1"/>
      <c r="O702" s="1"/>
    </row>
    <row r="703" spans="8:15" ht="12.75" x14ac:dyDescent="0.2">
      <c r="H703" s="1"/>
      <c r="O703" s="1"/>
    </row>
    <row r="704" spans="8:15" ht="12.75" x14ac:dyDescent="0.2">
      <c r="H704" s="1"/>
      <c r="O704" s="1"/>
    </row>
    <row r="705" spans="8:15" ht="12.75" x14ac:dyDescent="0.2">
      <c r="H705" s="1"/>
      <c r="O705" s="1"/>
    </row>
    <row r="706" spans="8:15" ht="12.75" x14ac:dyDescent="0.2">
      <c r="H706" s="1"/>
      <c r="O706" s="1"/>
    </row>
    <row r="707" spans="8:15" ht="12.75" x14ac:dyDescent="0.2">
      <c r="H707" s="1"/>
      <c r="O707" s="1"/>
    </row>
    <row r="708" spans="8:15" ht="12.75" x14ac:dyDescent="0.2">
      <c r="H708" s="1"/>
      <c r="O708" s="1"/>
    </row>
    <row r="709" spans="8:15" ht="12.75" x14ac:dyDescent="0.2">
      <c r="H709" s="1"/>
      <c r="O709" s="1"/>
    </row>
    <row r="710" spans="8:15" ht="12.75" x14ac:dyDescent="0.2">
      <c r="H710" s="1"/>
      <c r="O710" s="1"/>
    </row>
    <row r="711" spans="8:15" ht="12.75" x14ac:dyDescent="0.2">
      <c r="H711" s="1"/>
      <c r="O711" s="1"/>
    </row>
    <row r="712" spans="8:15" ht="12.75" x14ac:dyDescent="0.2">
      <c r="H712" s="1"/>
      <c r="O712" s="1"/>
    </row>
    <row r="713" spans="8:15" ht="12.75" x14ac:dyDescent="0.2">
      <c r="H713" s="1"/>
      <c r="O713" s="1"/>
    </row>
    <row r="714" spans="8:15" ht="12.75" x14ac:dyDescent="0.2">
      <c r="H714" s="1"/>
      <c r="O714" s="1"/>
    </row>
    <row r="715" spans="8:15" ht="12.75" x14ac:dyDescent="0.2">
      <c r="H715" s="1"/>
      <c r="O715" s="1"/>
    </row>
    <row r="716" spans="8:15" ht="12.75" x14ac:dyDescent="0.2">
      <c r="H716" s="1"/>
      <c r="O716" s="1"/>
    </row>
    <row r="717" spans="8:15" ht="12.75" x14ac:dyDescent="0.2">
      <c r="H717" s="1"/>
      <c r="O717" s="1"/>
    </row>
    <row r="718" spans="8:15" ht="12.75" x14ac:dyDescent="0.2">
      <c r="H718" s="1"/>
      <c r="O718" s="1"/>
    </row>
    <row r="719" spans="8:15" ht="12.75" x14ac:dyDescent="0.2">
      <c r="H719" s="1"/>
      <c r="O719" s="1"/>
    </row>
    <row r="720" spans="8:15" ht="12.75" x14ac:dyDescent="0.2">
      <c r="H720" s="1"/>
      <c r="O720" s="1"/>
    </row>
    <row r="721" spans="8:15" ht="12.75" x14ac:dyDescent="0.2">
      <c r="H721" s="1"/>
      <c r="O721" s="1"/>
    </row>
    <row r="722" spans="8:15" ht="12.75" x14ac:dyDescent="0.2">
      <c r="H722" s="1"/>
      <c r="O722" s="1"/>
    </row>
    <row r="723" spans="8:15" ht="12.75" x14ac:dyDescent="0.2">
      <c r="H723" s="1"/>
      <c r="O723" s="1"/>
    </row>
    <row r="724" spans="8:15" ht="12.75" x14ac:dyDescent="0.2">
      <c r="H724" s="1"/>
      <c r="O724" s="1"/>
    </row>
    <row r="725" spans="8:15" ht="12.75" x14ac:dyDescent="0.2">
      <c r="H725" s="1"/>
      <c r="O725" s="1"/>
    </row>
    <row r="726" spans="8:15" ht="12.75" x14ac:dyDescent="0.2">
      <c r="H726" s="1"/>
      <c r="O726" s="1"/>
    </row>
    <row r="727" spans="8:15" ht="12.75" x14ac:dyDescent="0.2">
      <c r="H727" s="1"/>
      <c r="O727" s="1"/>
    </row>
    <row r="728" spans="8:15" ht="12.75" x14ac:dyDescent="0.2">
      <c r="H728" s="1"/>
      <c r="O728" s="1"/>
    </row>
    <row r="729" spans="8:15" ht="12.75" x14ac:dyDescent="0.2">
      <c r="H729" s="1"/>
      <c r="O729" s="1"/>
    </row>
    <row r="730" spans="8:15" ht="12.75" x14ac:dyDescent="0.2">
      <c r="H730" s="1"/>
      <c r="O730" s="1"/>
    </row>
    <row r="731" spans="8:15" ht="12.75" x14ac:dyDescent="0.2">
      <c r="H731" s="1"/>
      <c r="O731" s="1"/>
    </row>
    <row r="732" spans="8:15" ht="12.75" x14ac:dyDescent="0.2">
      <c r="H732" s="1"/>
      <c r="O732" s="1"/>
    </row>
    <row r="733" spans="8:15" ht="12.75" x14ac:dyDescent="0.2">
      <c r="H733" s="1"/>
      <c r="O733" s="1"/>
    </row>
    <row r="734" spans="8:15" ht="12.75" x14ac:dyDescent="0.2">
      <c r="H734" s="1"/>
      <c r="O734" s="1"/>
    </row>
    <row r="735" spans="8:15" ht="12.75" x14ac:dyDescent="0.2">
      <c r="H735" s="1"/>
      <c r="O735" s="1"/>
    </row>
    <row r="736" spans="8:15" ht="12.75" x14ac:dyDescent="0.2">
      <c r="H736" s="1"/>
      <c r="O736" s="1"/>
    </row>
    <row r="737" spans="8:15" ht="12.75" x14ac:dyDescent="0.2">
      <c r="H737" s="1"/>
      <c r="O737" s="1"/>
    </row>
    <row r="738" spans="8:15" ht="12.75" x14ac:dyDescent="0.2">
      <c r="H738" s="1"/>
      <c r="O738" s="1"/>
    </row>
    <row r="739" spans="8:15" ht="12.75" x14ac:dyDescent="0.2">
      <c r="H739" s="1"/>
      <c r="O739" s="1"/>
    </row>
    <row r="740" spans="8:15" ht="12.75" x14ac:dyDescent="0.2">
      <c r="H740" s="1"/>
      <c r="O740" s="1"/>
    </row>
    <row r="741" spans="8:15" ht="12.75" x14ac:dyDescent="0.2">
      <c r="H741" s="1"/>
      <c r="O741" s="1"/>
    </row>
    <row r="742" spans="8:15" ht="12.75" x14ac:dyDescent="0.2">
      <c r="H742" s="1"/>
      <c r="O742" s="1"/>
    </row>
    <row r="743" spans="8:15" ht="12.75" x14ac:dyDescent="0.2">
      <c r="H743" s="1"/>
      <c r="O743" s="1"/>
    </row>
    <row r="744" spans="8:15" ht="12.75" x14ac:dyDescent="0.2">
      <c r="H744" s="1"/>
      <c r="O744" s="1"/>
    </row>
    <row r="745" spans="8:15" ht="12.75" x14ac:dyDescent="0.2">
      <c r="H745" s="1"/>
      <c r="O745" s="1"/>
    </row>
    <row r="746" spans="8:15" ht="12.75" x14ac:dyDescent="0.2">
      <c r="H746" s="1"/>
      <c r="O746" s="1"/>
    </row>
    <row r="747" spans="8:15" ht="12.75" x14ac:dyDescent="0.2">
      <c r="H747" s="1"/>
      <c r="O747" s="1"/>
    </row>
    <row r="748" spans="8:15" ht="12.75" x14ac:dyDescent="0.2">
      <c r="H748" s="1"/>
      <c r="O748" s="1"/>
    </row>
    <row r="749" spans="8:15" ht="12.75" x14ac:dyDescent="0.2">
      <c r="H749" s="1"/>
      <c r="O749" s="1"/>
    </row>
    <row r="750" spans="8:15" ht="12.75" x14ac:dyDescent="0.2">
      <c r="H750" s="1"/>
      <c r="O750" s="1"/>
    </row>
    <row r="751" spans="8:15" ht="12.75" x14ac:dyDescent="0.2">
      <c r="H751" s="1"/>
      <c r="O751" s="1"/>
    </row>
    <row r="752" spans="8:15" ht="12.75" x14ac:dyDescent="0.2">
      <c r="H752" s="1"/>
      <c r="O752" s="1"/>
    </row>
    <row r="753" spans="8:15" ht="12.75" x14ac:dyDescent="0.2">
      <c r="H753" s="1"/>
      <c r="O753" s="1"/>
    </row>
    <row r="754" spans="8:15" ht="12.75" x14ac:dyDescent="0.2">
      <c r="H754" s="1"/>
      <c r="O754" s="1"/>
    </row>
    <row r="755" spans="8:15" ht="12.75" x14ac:dyDescent="0.2">
      <c r="H755" s="1"/>
      <c r="O755" s="1"/>
    </row>
    <row r="756" spans="8:15" ht="12.75" x14ac:dyDescent="0.2">
      <c r="H756" s="1"/>
      <c r="O756" s="1"/>
    </row>
    <row r="757" spans="8:15" ht="12.75" x14ac:dyDescent="0.2">
      <c r="H757" s="1"/>
      <c r="O757" s="1"/>
    </row>
    <row r="758" spans="8:15" ht="12.75" x14ac:dyDescent="0.2">
      <c r="H758" s="1"/>
      <c r="O758" s="1"/>
    </row>
    <row r="759" spans="8:15" ht="12.75" x14ac:dyDescent="0.2">
      <c r="H759" s="1"/>
      <c r="O759" s="1"/>
    </row>
    <row r="760" spans="8:15" ht="12.75" x14ac:dyDescent="0.2">
      <c r="H760" s="1"/>
      <c r="O760" s="1"/>
    </row>
    <row r="761" spans="8:15" ht="12.75" x14ac:dyDescent="0.2">
      <c r="H761" s="1"/>
      <c r="O761" s="1"/>
    </row>
    <row r="762" spans="8:15" ht="12.75" x14ac:dyDescent="0.2">
      <c r="H762" s="1"/>
      <c r="O762" s="1"/>
    </row>
    <row r="763" spans="8:15" ht="12.75" x14ac:dyDescent="0.2">
      <c r="H763" s="1"/>
      <c r="O763" s="1"/>
    </row>
    <row r="764" spans="8:15" ht="12.75" x14ac:dyDescent="0.2">
      <c r="H764" s="1"/>
      <c r="O764" s="1"/>
    </row>
    <row r="765" spans="8:15" ht="12.75" x14ac:dyDescent="0.2">
      <c r="H765" s="1"/>
      <c r="O765" s="1"/>
    </row>
    <row r="766" spans="8:15" ht="12.75" x14ac:dyDescent="0.2">
      <c r="H766" s="1"/>
      <c r="O766" s="1"/>
    </row>
    <row r="767" spans="8:15" ht="12.75" x14ac:dyDescent="0.2">
      <c r="H767" s="1"/>
      <c r="O767" s="1"/>
    </row>
    <row r="768" spans="8:15" ht="12.75" x14ac:dyDescent="0.2">
      <c r="H768" s="1"/>
      <c r="O768" s="1"/>
    </row>
    <row r="769" spans="8:15" ht="12.75" x14ac:dyDescent="0.2">
      <c r="H769" s="1"/>
      <c r="O769" s="1"/>
    </row>
    <row r="770" spans="8:15" ht="12.75" x14ac:dyDescent="0.2">
      <c r="H770" s="1"/>
      <c r="O770" s="1"/>
    </row>
    <row r="771" spans="8:15" ht="12.75" x14ac:dyDescent="0.2">
      <c r="H771" s="1"/>
      <c r="O771" s="1"/>
    </row>
    <row r="772" spans="8:15" ht="12.75" x14ac:dyDescent="0.2">
      <c r="H772" s="1"/>
      <c r="O772" s="1"/>
    </row>
    <row r="773" spans="8:15" ht="12.75" x14ac:dyDescent="0.2">
      <c r="H773" s="1"/>
      <c r="O773" s="1"/>
    </row>
    <row r="774" spans="8:15" ht="12.75" x14ac:dyDescent="0.2">
      <c r="H774" s="1"/>
      <c r="O774" s="1"/>
    </row>
    <row r="775" spans="8:15" ht="12.75" x14ac:dyDescent="0.2">
      <c r="H775" s="1"/>
      <c r="O775" s="1"/>
    </row>
    <row r="776" spans="8:15" ht="12.75" x14ac:dyDescent="0.2">
      <c r="H776" s="1"/>
      <c r="O776" s="1"/>
    </row>
    <row r="777" spans="8:15" ht="12.75" x14ac:dyDescent="0.2">
      <c r="H777" s="1"/>
      <c r="O777" s="1"/>
    </row>
    <row r="778" spans="8:15" ht="12.75" x14ac:dyDescent="0.2">
      <c r="H778" s="1"/>
      <c r="O778" s="1"/>
    </row>
    <row r="779" spans="8:15" ht="12.75" x14ac:dyDescent="0.2">
      <c r="H779" s="1"/>
      <c r="O779" s="1"/>
    </row>
    <row r="780" spans="8:15" ht="12.75" x14ac:dyDescent="0.2">
      <c r="H780" s="1"/>
      <c r="O780" s="1"/>
    </row>
    <row r="781" spans="8:15" ht="12.75" x14ac:dyDescent="0.2">
      <c r="H781" s="1"/>
      <c r="O781" s="1"/>
    </row>
    <row r="782" spans="8:15" ht="12.75" x14ac:dyDescent="0.2">
      <c r="H782" s="1"/>
      <c r="O782" s="1"/>
    </row>
    <row r="783" spans="8:15" ht="12.75" x14ac:dyDescent="0.2">
      <c r="H783" s="1"/>
      <c r="O783" s="1"/>
    </row>
    <row r="784" spans="8:15" ht="12.75" x14ac:dyDescent="0.2">
      <c r="H784" s="1"/>
      <c r="O784" s="1"/>
    </row>
    <row r="785" spans="8:15" ht="12.75" x14ac:dyDescent="0.2">
      <c r="H785" s="1"/>
      <c r="O785" s="1"/>
    </row>
    <row r="786" spans="8:15" ht="12.75" x14ac:dyDescent="0.2">
      <c r="H786" s="1"/>
      <c r="O786" s="1"/>
    </row>
    <row r="787" spans="8:15" ht="12.75" x14ac:dyDescent="0.2">
      <c r="H787" s="1"/>
      <c r="O787" s="1"/>
    </row>
    <row r="788" spans="8:15" ht="12.75" x14ac:dyDescent="0.2">
      <c r="H788" s="1"/>
      <c r="O788" s="1"/>
    </row>
    <row r="789" spans="8:15" ht="12.75" x14ac:dyDescent="0.2">
      <c r="H789" s="1"/>
      <c r="O789" s="1"/>
    </row>
    <row r="790" spans="8:15" ht="12.75" x14ac:dyDescent="0.2">
      <c r="H790" s="1"/>
      <c r="O790" s="1"/>
    </row>
    <row r="791" spans="8:15" ht="12.75" x14ac:dyDescent="0.2">
      <c r="H791" s="1"/>
      <c r="O791" s="1"/>
    </row>
    <row r="792" spans="8:15" ht="12.75" x14ac:dyDescent="0.2">
      <c r="H792" s="1"/>
      <c r="O792" s="1"/>
    </row>
    <row r="793" spans="8:15" ht="12.75" x14ac:dyDescent="0.2">
      <c r="H793" s="1"/>
      <c r="O793" s="1"/>
    </row>
    <row r="794" spans="8:15" ht="12.75" x14ac:dyDescent="0.2">
      <c r="H794" s="1"/>
      <c r="O794" s="1"/>
    </row>
    <row r="795" spans="8:15" ht="12.75" x14ac:dyDescent="0.2">
      <c r="H795" s="1"/>
      <c r="O795" s="1"/>
    </row>
    <row r="796" spans="8:15" ht="12.75" x14ac:dyDescent="0.2">
      <c r="H796" s="1"/>
      <c r="O796" s="1"/>
    </row>
    <row r="797" spans="8:15" ht="12.75" x14ac:dyDescent="0.2">
      <c r="H797" s="1"/>
      <c r="O797" s="1"/>
    </row>
    <row r="798" spans="8:15" ht="12.75" x14ac:dyDescent="0.2">
      <c r="H798" s="1"/>
      <c r="O798" s="1"/>
    </row>
    <row r="799" spans="8:15" ht="12.75" x14ac:dyDescent="0.2">
      <c r="H799" s="1"/>
      <c r="O799" s="1"/>
    </row>
    <row r="800" spans="8:15" ht="12.75" x14ac:dyDescent="0.2">
      <c r="H800" s="1"/>
      <c r="O800" s="1"/>
    </row>
    <row r="801" spans="8:15" ht="12.75" x14ac:dyDescent="0.2">
      <c r="H801" s="1"/>
      <c r="O801" s="1"/>
    </row>
    <row r="802" spans="8:15" ht="12.75" x14ac:dyDescent="0.2">
      <c r="H802" s="1"/>
      <c r="O802" s="1"/>
    </row>
    <row r="803" spans="8:15" ht="12.75" x14ac:dyDescent="0.2">
      <c r="H803" s="1"/>
      <c r="O803" s="1"/>
    </row>
    <row r="804" spans="8:15" ht="12.75" x14ac:dyDescent="0.2">
      <c r="H804" s="1"/>
      <c r="O804" s="1"/>
    </row>
    <row r="805" spans="8:15" ht="12.75" x14ac:dyDescent="0.2">
      <c r="H805" s="1"/>
      <c r="O805" s="1"/>
    </row>
    <row r="806" spans="8:15" ht="12.75" x14ac:dyDescent="0.2">
      <c r="H806" s="1"/>
      <c r="O806" s="1"/>
    </row>
    <row r="807" spans="8:15" ht="12.75" x14ac:dyDescent="0.2">
      <c r="H807" s="1"/>
      <c r="O807" s="1"/>
    </row>
    <row r="808" spans="8:15" ht="12.75" x14ac:dyDescent="0.2">
      <c r="H808" s="1"/>
      <c r="O808" s="1"/>
    </row>
    <row r="809" spans="8:15" ht="12.75" x14ac:dyDescent="0.2">
      <c r="H809" s="1"/>
      <c r="O809" s="1"/>
    </row>
    <row r="810" spans="8:15" ht="12.75" x14ac:dyDescent="0.2">
      <c r="H810" s="1"/>
      <c r="O810" s="1"/>
    </row>
    <row r="811" spans="8:15" ht="12.75" x14ac:dyDescent="0.2">
      <c r="H811" s="1"/>
      <c r="O811" s="1"/>
    </row>
    <row r="812" spans="8:15" ht="12.75" x14ac:dyDescent="0.2">
      <c r="H812" s="1"/>
      <c r="O812" s="1"/>
    </row>
    <row r="813" spans="8:15" ht="12.75" x14ac:dyDescent="0.2">
      <c r="H813" s="1"/>
      <c r="O813" s="1"/>
    </row>
    <row r="814" spans="8:15" ht="12.75" x14ac:dyDescent="0.2">
      <c r="H814" s="1"/>
      <c r="O814" s="1"/>
    </row>
    <row r="815" spans="8:15" ht="12.75" x14ac:dyDescent="0.2">
      <c r="H815" s="1"/>
      <c r="O815" s="1"/>
    </row>
    <row r="816" spans="8:15" ht="12.75" x14ac:dyDescent="0.2">
      <c r="H816" s="1"/>
      <c r="O816" s="1"/>
    </row>
    <row r="817" spans="8:15" ht="12.75" x14ac:dyDescent="0.2">
      <c r="H817" s="1"/>
      <c r="O817" s="1"/>
    </row>
    <row r="818" spans="8:15" ht="12.75" x14ac:dyDescent="0.2">
      <c r="H818" s="1"/>
      <c r="O818" s="1"/>
    </row>
    <row r="819" spans="8:15" ht="12.75" x14ac:dyDescent="0.2">
      <c r="H819" s="1"/>
      <c r="O819" s="1"/>
    </row>
    <row r="820" spans="8:15" ht="12.75" x14ac:dyDescent="0.2">
      <c r="H820" s="1"/>
      <c r="O820" s="1"/>
    </row>
    <row r="821" spans="8:15" ht="12.75" x14ac:dyDescent="0.2">
      <c r="H821" s="1"/>
      <c r="O821" s="1"/>
    </row>
    <row r="822" spans="8:15" ht="12.75" x14ac:dyDescent="0.2">
      <c r="H822" s="1"/>
      <c r="O822" s="1"/>
    </row>
    <row r="823" spans="8:15" ht="12.75" x14ac:dyDescent="0.2">
      <c r="H823" s="1"/>
      <c r="O823" s="1"/>
    </row>
    <row r="824" spans="8:15" ht="12.75" x14ac:dyDescent="0.2">
      <c r="H824" s="1"/>
      <c r="O824" s="1"/>
    </row>
    <row r="825" spans="8:15" ht="12.75" x14ac:dyDescent="0.2">
      <c r="H825" s="1"/>
      <c r="O825" s="1"/>
    </row>
    <row r="826" spans="8:15" ht="12.75" x14ac:dyDescent="0.2">
      <c r="H826" s="1"/>
      <c r="O826" s="1"/>
    </row>
    <row r="827" spans="8:15" ht="12.75" x14ac:dyDescent="0.2">
      <c r="H827" s="1"/>
      <c r="O827" s="1"/>
    </row>
    <row r="828" spans="8:15" ht="12.75" x14ac:dyDescent="0.2">
      <c r="H828" s="1"/>
      <c r="O828" s="1"/>
    </row>
    <row r="829" spans="8:15" ht="12.75" x14ac:dyDescent="0.2">
      <c r="H829" s="1"/>
      <c r="O829" s="1"/>
    </row>
    <row r="830" spans="8:15" ht="12.75" x14ac:dyDescent="0.2">
      <c r="H830" s="1"/>
      <c r="O830" s="1"/>
    </row>
    <row r="831" spans="8:15" ht="12.75" x14ac:dyDescent="0.2">
      <c r="H831" s="1"/>
      <c r="O831" s="1"/>
    </row>
    <row r="832" spans="8:15" ht="12.75" x14ac:dyDescent="0.2">
      <c r="H832" s="1"/>
      <c r="O832" s="1"/>
    </row>
    <row r="833" spans="8:15" ht="12.75" x14ac:dyDescent="0.2">
      <c r="H833" s="1"/>
      <c r="O833" s="1"/>
    </row>
    <row r="834" spans="8:15" ht="12.75" x14ac:dyDescent="0.2">
      <c r="H834" s="1"/>
      <c r="O834" s="1"/>
    </row>
    <row r="835" spans="8:15" ht="12.75" x14ac:dyDescent="0.2">
      <c r="H835" s="1"/>
      <c r="O835" s="1"/>
    </row>
    <row r="836" spans="8:15" ht="12.75" x14ac:dyDescent="0.2">
      <c r="H836" s="1"/>
      <c r="O836" s="1"/>
    </row>
    <row r="837" spans="8:15" ht="12.75" x14ac:dyDescent="0.2">
      <c r="H837" s="1"/>
      <c r="O837" s="1"/>
    </row>
    <row r="838" spans="8:15" ht="12.75" x14ac:dyDescent="0.2">
      <c r="H838" s="1"/>
      <c r="O838" s="1"/>
    </row>
    <row r="839" spans="8:15" ht="12.75" x14ac:dyDescent="0.2">
      <c r="H839" s="1"/>
      <c r="O839" s="1"/>
    </row>
    <row r="840" spans="8:15" ht="12.75" x14ac:dyDescent="0.2">
      <c r="H840" s="1"/>
      <c r="O840" s="1"/>
    </row>
    <row r="841" spans="8:15" ht="12.75" x14ac:dyDescent="0.2">
      <c r="H841" s="1"/>
      <c r="O841" s="1"/>
    </row>
    <row r="842" spans="8:15" ht="12.75" x14ac:dyDescent="0.2">
      <c r="H842" s="1"/>
      <c r="O842" s="1"/>
    </row>
    <row r="843" spans="8:15" ht="12.75" x14ac:dyDescent="0.2">
      <c r="H843" s="1"/>
      <c r="O843" s="1"/>
    </row>
    <row r="844" spans="8:15" ht="12.75" x14ac:dyDescent="0.2">
      <c r="H844" s="1"/>
      <c r="O844" s="1"/>
    </row>
    <row r="845" spans="8:15" ht="12.75" x14ac:dyDescent="0.2">
      <c r="H845" s="1"/>
      <c r="O845" s="1"/>
    </row>
    <row r="846" spans="8:15" ht="12.75" x14ac:dyDescent="0.2">
      <c r="H846" s="1"/>
      <c r="O846" s="1"/>
    </row>
    <row r="847" spans="8:15" ht="12.75" x14ac:dyDescent="0.2">
      <c r="H847" s="1"/>
      <c r="O847" s="1"/>
    </row>
    <row r="848" spans="8:15" ht="12.75" x14ac:dyDescent="0.2">
      <c r="H848" s="1"/>
      <c r="O848" s="1"/>
    </row>
    <row r="849" spans="8:15" ht="12.75" x14ac:dyDescent="0.2">
      <c r="H849" s="1"/>
      <c r="O849" s="1"/>
    </row>
    <row r="850" spans="8:15" ht="12.75" x14ac:dyDescent="0.2">
      <c r="H850" s="1"/>
      <c r="O850" s="1"/>
    </row>
    <row r="851" spans="8:15" ht="12.75" x14ac:dyDescent="0.2">
      <c r="H851" s="1"/>
      <c r="O851" s="1"/>
    </row>
    <row r="852" spans="8:15" ht="12.75" x14ac:dyDescent="0.2">
      <c r="H852" s="1"/>
      <c r="O852" s="1"/>
    </row>
    <row r="853" spans="8:15" ht="12.75" x14ac:dyDescent="0.2">
      <c r="H853" s="1"/>
      <c r="O853" s="1"/>
    </row>
    <row r="854" spans="8:15" ht="12.75" x14ac:dyDescent="0.2">
      <c r="H854" s="1"/>
      <c r="O854" s="1"/>
    </row>
    <row r="855" spans="8:15" ht="12.75" x14ac:dyDescent="0.2">
      <c r="H855" s="1"/>
      <c r="O855" s="1"/>
    </row>
    <row r="856" spans="8:15" ht="12.75" x14ac:dyDescent="0.2">
      <c r="H856" s="1"/>
      <c r="O856" s="1"/>
    </row>
    <row r="857" spans="8:15" ht="12.75" x14ac:dyDescent="0.2">
      <c r="H857" s="1"/>
      <c r="O857" s="1"/>
    </row>
    <row r="858" spans="8:15" ht="12.75" x14ac:dyDescent="0.2">
      <c r="H858" s="1"/>
      <c r="O858" s="1"/>
    </row>
    <row r="859" spans="8:15" ht="12.75" x14ac:dyDescent="0.2">
      <c r="H859" s="1"/>
      <c r="O859" s="1"/>
    </row>
    <row r="860" spans="8:15" ht="12.75" x14ac:dyDescent="0.2">
      <c r="H860" s="1"/>
      <c r="O860" s="1"/>
    </row>
    <row r="861" spans="8:15" ht="12.75" x14ac:dyDescent="0.2">
      <c r="H861" s="1"/>
      <c r="O861" s="1"/>
    </row>
    <row r="862" spans="8:15" ht="12.75" x14ac:dyDescent="0.2">
      <c r="H862" s="1"/>
      <c r="O862" s="1"/>
    </row>
    <row r="863" spans="8:15" ht="12.75" x14ac:dyDescent="0.2">
      <c r="H863" s="1"/>
      <c r="O863" s="1"/>
    </row>
    <row r="864" spans="8:15" ht="12.75" x14ac:dyDescent="0.2">
      <c r="H864" s="1"/>
      <c r="O864" s="1"/>
    </row>
    <row r="865" spans="8:15" ht="12.75" x14ac:dyDescent="0.2">
      <c r="H865" s="1"/>
      <c r="O865" s="1"/>
    </row>
    <row r="866" spans="8:15" ht="12.75" x14ac:dyDescent="0.2">
      <c r="H866" s="1"/>
      <c r="O866" s="1"/>
    </row>
    <row r="867" spans="8:15" ht="12.75" x14ac:dyDescent="0.2">
      <c r="H867" s="1"/>
      <c r="O867" s="1"/>
    </row>
    <row r="868" spans="8:15" ht="12.75" x14ac:dyDescent="0.2">
      <c r="H868" s="1"/>
      <c r="O868" s="1"/>
    </row>
    <row r="869" spans="8:15" ht="12.75" x14ac:dyDescent="0.2">
      <c r="H869" s="1"/>
      <c r="O869" s="1"/>
    </row>
    <row r="870" spans="8:15" ht="12.75" x14ac:dyDescent="0.2">
      <c r="H870" s="1"/>
      <c r="O870" s="1"/>
    </row>
    <row r="871" spans="8:15" ht="12.75" x14ac:dyDescent="0.2">
      <c r="H871" s="1"/>
      <c r="O871" s="1"/>
    </row>
    <row r="872" spans="8:15" ht="12.75" x14ac:dyDescent="0.2">
      <c r="H872" s="1"/>
      <c r="O872" s="1"/>
    </row>
    <row r="873" spans="8:15" ht="12.75" x14ac:dyDescent="0.2">
      <c r="H873" s="1"/>
      <c r="O873" s="1"/>
    </row>
    <row r="874" spans="8:15" ht="12.75" x14ac:dyDescent="0.2">
      <c r="H874" s="1"/>
      <c r="O874" s="1"/>
    </row>
    <row r="875" spans="8:15" ht="12.75" x14ac:dyDescent="0.2">
      <c r="H875" s="1"/>
      <c r="O875" s="1"/>
    </row>
    <row r="876" spans="8:15" ht="12.75" x14ac:dyDescent="0.2">
      <c r="H876" s="1"/>
      <c r="O876" s="1"/>
    </row>
    <row r="877" spans="8:15" ht="12.75" x14ac:dyDescent="0.2">
      <c r="H877" s="1"/>
      <c r="O877" s="1"/>
    </row>
    <row r="878" spans="8:15" ht="12.75" x14ac:dyDescent="0.2">
      <c r="H878" s="1"/>
      <c r="O878" s="1"/>
    </row>
    <row r="879" spans="8:15" ht="12.75" x14ac:dyDescent="0.2">
      <c r="H879" s="1"/>
      <c r="O879" s="1"/>
    </row>
    <row r="880" spans="8:15" ht="12.75" x14ac:dyDescent="0.2">
      <c r="H880" s="1"/>
      <c r="O880" s="1"/>
    </row>
    <row r="881" spans="8:15" ht="12.75" x14ac:dyDescent="0.2">
      <c r="H881" s="1"/>
      <c r="O881" s="1"/>
    </row>
    <row r="882" spans="8:15" ht="12.75" x14ac:dyDescent="0.2">
      <c r="H882" s="1"/>
      <c r="O882" s="1"/>
    </row>
    <row r="883" spans="8:15" ht="12.75" x14ac:dyDescent="0.2">
      <c r="H883" s="1"/>
      <c r="O883" s="1"/>
    </row>
    <row r="884" spans="8:15" ht="12.75" x14ac:dyDescent="0.2">
      <c r="H884" s="1"/>
      <c r="O884" s="1"/>
    </row>
    <row r="885" spans="8:15" ht="12.75" x14ac:dyDescent="0.2">
      <c r="H885" s="1"/>
      <c r="O885" s="1"/>
    </row>
    <row r="886" spans="8:15" ht="12.75" x14ac:dyDescent="0.2">
      <c r="H886" s="1"/>
      <c r="O886" s="1"/>
    </row>
    <row r="887" spans="8:15" ht="12.75" x14ac:dyDescent="0.2">
      <c r="H887" s="1"/>
      <c r="O887" s="1"/>
    </row>
    <row r="888" spans="8:15" ht="12.75" x14ac:dyDescent="0.2">
      <c r="H888" s="1"/>
      <c r="O888" s="1"/>
    </row>
    <row r="889" spans="8:15" ht="12.75" x14ac:dyDescent="0.2">
      <c r="H889" s="1"/>
      <c r="O889" s="1"/>
    </row>
    <row r="890" spans="8:15" ht="12.75" x14ac:dyDescent="0.2">
      <c r="H890" s="1"/>
      <c r="O890" s="1"/>
    </row>
    <row r="891" spans="8:15" ht="12.75" x14ac:dyDescent="0.2">
      <c r="H891" s="1"/>
      <c r="O891" s="1"/>
    </row>
    <row r="892" spans="8:15" ht="12.75" x14ac:dyDescent="0.2">
      <c r="H892" s="1"/>
      <c r="O892" s="1"/>
    </row>
    <row r="893" spans="8:15" ht="12.75" x14ac:dyDescent="0.2">
      <c r="H893" s="1"/>
      <c r="O893" s="1"/>
    </row>
    <row r="894" spans="8:15" ht="12.75" x14ac:dyDescent="0.2">
      <c r="H894" s="1"/>
      <c r="O894" s="1"/>
    </row>
    <row r="895" spans="8:15" ht="12.75" x14ac:dyDescent="0.2">
      <c r="H895" s="1"/>
      <c r="O895" s="1"/>
    </row>
    <row r="896" spans="8:15" ht="12.75" x14ac:dyDescent="0.2">
      <c r="H896" s="1"/>
      <c r="O896" s="1"/>
    </row>
    <row r="897" spans="8:15" ht="12.75" x14ac:dyDescent="0.2">
      <c r="H897" s="1"/>
      <c r="O897" s="1"/>
    </row>
    <row r="898" spans="8:15" ht="12.75" x14ac:dyDescent="0.2">
      <c r="H898" s="1"/>
      <c r="O898" s="1"/>
    </row>
    <row r="899" spans="8:15" ht="12.75" x14ac:dyDescent="0.2">
      <c r="H899" s="1"/>
      <c r="O899" s="1"/>
    </row>
    <row r="900" spans="8:15" ht="12.75" x14ac:dyDescent="0.2">
      <c r="H900" s="1"/>
      <c r="O900" s="1"/>
    </row>
    <row r="901" spans="8:15" ht="12.75" x14ac:dyDescent="0.2">
      <c r="H901" s="1"/>
      <c r="O901" s="1"/>
    </row>
    <row r="902" spans="8:15" ht="12.75" x14ac:dyDescent="0.2">
      <c r="H902" s="1"/>
      <c r="O902" s="1"/>
    </row>
    <row r="903" spans="8:15" ht="12.75" x14ac:dyDescent="0.2">
      <c r="H903" s="1"/>
      <c r="O903" s="1"/>
    </row>
    <row r="904" spans="8:15" ht="12.75" x14ac:dyDescent="0.2">
      <c r="H904" s="1"/>
      <c r="O904" s="1"/>
    </row>
    <row r="905" spans="8:15" ht="12.75" x14ac:dyDescent="0.2">
      <c r="H905" s="1"/>
      <c r="O905" s="1"/>
    </row>
    <row r="906" spans="8:15" ht="12.75" x14ac:dyDescent="0.2">
      <c r="H906" s="1"/>
      <c r="O906" s="1"/>
    </row>
    <row r="907" spans="8:15" ht="12.75" x14ac:dyDescent="0.2">
      <c r="H907" s="1"/>
      <c r="O907" s="1"/>
    </row>
    <row r="908" spans="8:15" ht="12.75" x14ac:dyDescent="0.2">
      <c r="H908" s="1"/>
      <c r="O908" s="1"/>
    </row>
    <row r="909" spans="8:15" ht="12.75" x14ac:dyDescent="0.2">
      <c r="H909" s="1"/>
      <c r="O909" s="1"/>
    </row>
    <row r="910" spans="8:15" ht="12.75" x14ac:dyDescent="0.2">
      <c r="H910" s="1"/>
      <c r="O910" s="1"/>
    </row>
    <row r="911" spans="8:15" ht="12.75" x14ac:dyDescent="0.2">
      <c r="H911" s="1"/>
      <c r="O911" s="1"/>
    </row>
    <row r="912" spans="8:15" ht="12.75" x14ac:dyDescent="0.2">
      <c r="H912" s="1"/>
      <c r="O912" s="1"/>
    </row>
    <row r="913" spans="8:15" ht="12.75" x14ac:dyDescent="0.2">
      <c r="H913" s="1"/>
      <c r="O913" s="1"/>
    </row>
    <row r="914" spans="8:15" ht="12.75" x14ac:dyDescent="0.2">
      <c r="H914" s="1"/>
      <c r="O914" s="1"/>
    </row>
    <row r="915" spans="8:15" ht="12.75" x14ac:dyDescent="0.2">
      <c r="H915" s="1"/>
      <c r="O915" s="1"/>
    </row>
    <row r="916" spans="8:15" ht="12.75" x14ac:dyDescent="0.2">
      <c r="H916" s="1"/>
      <c r="O916" s="1"/>
    </row>
    <row r="917" spans="8:15" ht="12.75" x14ac:dyDescent="0.2">
      <c r="H917" s="1"/>
      <c r="O917" s="1"/>
    </row>
    <row r="918" spans="8:15" ht="12.75" x14ac:dyDescent="0.2">
      <c r="H918" s="1"/>
      <c r="O918" s="1"/>
    </row>
    <row r="919" spans="8:15" ht="12.75" x14ac:dyDescent="0.2">
      <c r="H919" s="1"/>
      <c r="O919" s="1"/>
    </row>
    <row r="920" spans="8:15" ht="12.75" x14ac:dyDescent="0.2">
      <c r="H920" s="1"/>
      <c r="O920" s="1"/>
    </row>
    <row r="921" spans="8:15" ht="12.75" x14ac:dyDescent="0.2">
      <c r="H921" s="1"/>
      <c r="O921" s="1"/>
    </row>
    <row r="922" spans="8:15" ht="12.75" x14ac:dyDescent="0.2">
      <c r="H922" s="1"/>
      <c r="O922" s="1"/>
    </row>
    <row r="923" spans="8:15" ht="12.75" x14ac:dyDescent="0.2">
      <c r="H923" s="1"/>
      <c r="O923" s="1"/>
    </row>
    <row r="924" spans="8:15" ht="12.75" x14ac:dyDescent="0.2">
      <c r="H924" s="1"/>
      <c r="O924" s="1"/>
    </row>
    <row r="925" spans="8:15" ht="12.75" x14ac:dyDescent="0.2">
      <c r="H925" s="1"/>
      <c r="O925" s="1"/>
    </row>
    <row r="926" spans="8:15" ht="12.75" x14ac:dyDescent="0.2">
      <c r="H926" s="1"/>
      <c r="O926" s="1"/>
    </row>
    <row r="927" spans="8:15" ht="12.75" x14ac:dyDescent="0.2">
      <c r="H927" s="1"/>
      <c r="O927" s="1"/>
    </row>
    <row r="928" spans="8:15" ht="12.75" x14ac:dyDescent="0.2">
      <c r="H928" s="1"/>
      <c r="O928" s="1"/>
    </row>
    <row r="929" spans="8:15" ht="12.75" x14ac:dyDescent="0.2">
      <c r="H929" s="1"/>
      <c r="O929" s="1"/>
    </row>
    <row r="930" spans="8:15" ht="12.75" x14ac:dyDescent="0.2">
      <c r="H930" s="1"/>
      <c r="O930" s="1"/>
    </row>
    <row r="931" spans="8:15" ht="12.75" x14ac:dyDescent="0.2">
      <c r="H931" s="1"/>
      <c r="O931" s="1"/>
    </row>
    <row r="932" spans="8:15" ht="12.75" x14ac:dyDescent="0.2">
      <c r="H932" s="1"/>
      <c r="O932" s="1"/>
    </row>
    <row r="933" spans="8:15" ht="12.75" x14ac:dyDescent="0.2">
      <c r="H933" s="1"/>
      <c r="O933" s="1"/>
    </row>
    <row r="934" spans="8:15" ht="12.75" x14ac:dyDescent="0.2">
      <c r="H934" s="1"/>
      <c r="O934" s="1"/>
    </row>
    <row r="935" spans="8:15" ht="12.75" x14ac:dyDescent="0.2">
      <c r="H935" s="1"/>
      <c r="O935" s="1"/>
    </row>
    <row r="936" spans="8:15" ht="12.75" x14ac:dyDescent="0.2">
      <c r="H936" s="1"/>
      <c r="O936" s="1"/>
    </row>
    <row r="937" spans="8:15" ht="12.75" x14ac:dyDescent="0.2">
      <c r="H937" s="1"/>
      <c r="O937" s="1"/>
    </row>
    <row r="938" spans="8:15" ht="12.75" x14ac:dyDescent="0.2">
      <c r="H938" s="1"/>
      <c r="O938" s="1"/>
    </row>
    <row r="939" spans="8:15" ht="12.75" x14ac:dyDescent="0.2">
      <c r="H939" s="1"/>
      <c r="O939" s="1"/>
    </row>
    <row r="940" spans="8:15" ht="12.75" x14ac:dyDescent="0.2">
      <c r="H940" s="1"/>
      <c r="O940" s="1"/>
    </row>
    <row r="941" spans="8:15" ht="12.75" x14ac:dyDescent="0.2">
      <c r="H941" s="1"/>
      <c r="O941" s="1"/>
    </row>
    <row r="942" spans="8:15" ht="12.75" x14ac:dyDescent="0.2">
      <c r="H942" s="1"/>
      <c r="O942" s="1"/>
    </row>
    <row r="943" spans="8:15" ht="12.75" x14ac:dyDescent="0.2">
      <c r="H943" s="1"/>
      <c r="O943" s="1"/>
    </row>
    <row r="944" spans="8:15" ht="12.75" x14ac:dyDescent="0.2">
      <c r="H944" s="1"/>
      <c r="O944" s="1"/>
    </row>
    <row r="945" spans="8:15" ht="12.75" x14ac:dyDescent="0.2">
      <c r="H945" s="1"/>
      <c r="O945" s="1"/>
    </row>
    <row r="946" spans="8:15" ht="12.75" x14ac:dyDescent="0.2">
      <c r="H946" s="1"/>
      <c r="O946" s="1"/>
    </row>
    <row r="947" spans="8:15" ht="12.75" x14ac:dyDescent="0.2">
      <c r="H947" s="1"/>
      <c r="O947" s="1"/>
    </row>
    <row r="948" spans="8:15" ht="12.75" x14ac:dyDescent="0.2">
      <c r="H948" s="1"/>
      <c r="O948" s="1"/>
    </row>
    <row r="949" spans="8:15" ht="12.75" x14ac:dyDescent="0.2">
      <c r="H949" s="1"/>
      <c r="O949" s="1"/>
    </row>
    <row r="950" spans="8:15" ht="12.75" x14ac:dyDescent="0.2">
      <c r="H950" s="1"/>
      <c r="O950" s="1"/>
    </row>
    <row r="951" spans="8:15" ht="12.75" x14ac:dyDescent="0.2">
      <c r="H951" s="1"/>
      <c r="O951" s="1"/>
    </row>
    <row r="952" spans="8:15" ht="12.75" x14ac:dyDescent="0.2">
      <c r="H952" s="1"/>
      <c r="O952" s="1"/>
    </row>
    <row r="953" spans="8:15" ht="12.75" x14ac:dyDescent="0.2">
      <c r="H953" s="1"/>
      <c r="O953" s="1"/>
    </row>
    <row r="954" spans="8:15" ht="12.75" x14ac:dyDescent="0.2">
      <c r="H954" s="1"/>
      <c r="O954" s="1"/>
    </row>
    <row r="955" spans="8:15" ht="12.75" x14ac:dyDescent="0.2">
      <c r="H955" s="1"/>
      <c r="O955" s="1"/>
    </row>
    <row r="956" spans="8:15" ht="12.75" x14ac:dyDescent="0.2">
      <c r="H956" s="1"/>
      <c r="O956" s="1"/>
    </row>
    <row r="957" spans="8:15" ht="12.75" x14ac:dyDescent="0.2">
      <c r="H957" s="1"/>
      <c r="O957" s="1"/>
    </row>
    <row r="958" spans="8:15" ht="12.75" x14ac:dyDescent="0.2">
      <c r="H958" s="1"/>
      <c r="O958" s="1"/>
    </row>
    <row r="959" spans="8:15" ht="12.75" x14ac:dyDescent="0.2">
      <c r="H959" s="1"/>
      <c r="O959" s="1"/>
    </row>
    <row r="960" spans="8:15" ht="12.75" x14ac:dyDescent="0.2">
      <c r="H960" s="1"/>
      <c r="O960" s="1"/>
    </row>
    <row r="961" spans="8:15" ht="12.75" x14ac:dyDescent="0.2">
      <c r="H961" s="1"/>
      <c r="O961" s="1"/>
    </row>
    <row r="962" spans="8:15" ht="12.75" x14ac:dyDescent="0.2">
      <c r="H962" s="1"/>
      <c r="O962" s="1"/>
    </row>
    <row r="963" spans="8:15" ht="12.75" x14ac:dyDescent="0.2">
      <c r="H963" s="1"/>
      <c r="O963" s="1"/>
    </row>
    <row r="964" spans="8:15" ht="12.75" x14ac:dyDescent="0.2">
      <c r="H964" s="1"/>
      <c r="O964" s="1"/>
    </row>
    <row r="965" spans="8:15" ht="12.75" x14ac:dyDescent="0.2">
      <c r="H965" s="1"/>
      <c r="O965" s="1"/>
    </row>
    <row r="966" spans="8:15" ht="12.75" x14ac:dyDescent="0.2">
      <c r="H966" s="1"/>
      <c r="O966" s="1"/>
    </row>
    <row r="967" spans="8:15" ht="12.75" x14ac:dyDescent="0.2">
      <c r="H967" s="1"/>
      <c r="O967" s="1"/>
    </row>
    <row r="968" spans="8:15" ht="12.75" x14ac:dyDescent="0.2">
      <c r="H968" s="1"/>
      <c r="O968" s="1"/>
    </row>
    <row r="969" spans="8:15" ht="12.75" x14ac:dyDescent="0.2">
      <c r="H969" s="1"/>
      <c r="O969" s="1"/>
    </row>
    <row r="970" spans="8:15" ht="12.75" x14ac:dyDescent="0.2">
      <c r="H970" s="1"/>
      <c r="O970" s="1"/>
    </row>
    <row r="971" spans="8:15" ht="12.75" x14ac:dyDescent="0.2">
      <c r="H971" s="1"/>
      <c r="O971" s="1"/>
    </row>
    <row r="972" spans="8:15" ht="12.75" x14ac:dyDescent="0.2">
      <c r="H972" s="1"/>
      <c r="O972" s="1"/>
    </row>
    <row r="973" spans="8:15" ht="12.75" x14ac:dyDescent="0.2">
      <c r="H973" s="1"/>
      <c r="O973" s="1"/>
    </row>
    <row r="974" spans="8:15" ht="12.75" x14ac:dyDescent="0.2">
      <c r="H974" s="1"/>
      <c r="O974" s="1"/>
    </row>
    <row r="975" spans="8:15" ht="12.75" x14ac:dyDescent="0.2">
      <c r="H975" s="1"/>
      <c r="O975" s="1"/>
    </row>
    <row r="976" spans="8:15" ht="12.75" x14ac:dyDescent="0.2">
      <c r="H976" s="1"/>
      <c r="O976" s="1"/>
    </row>
    <row r="977" spans="8:15" ht="12.75" x14ac:dyDescent="0.2">
      <c r="H977" s="1"/>
      <c r="O977" s="1"/>
    </row>
    <row r="978" spans="8:15" ht="12.75" x14ac:dyDescent="0.2">
      <c r="H978" s="1"/>
      <c r="O978" s="1"/>
    </row>
    <row r="979" spans="8:15" ht="12.75" x14ac:dyDescent="0.2">
      <c r="H979" s="1"/>
      <c r="O979" s="1"/>
    </row>
    <row r="980" spans="8:15" ht="12.75" x14ac:dyDescent="0.2">
      <c r="H980" s="1"/>
      <c r="O980" s="1"/>
    </row>
    <row r="981" spans="8:15" ht="12.75" x14ac:dyDescent="0.2">
      <c r="H981" s="1"/>
      <c r="O981" s="1"/>
    </row>
    <row r="982" spans="8:15" ht="12.75" x14ac:dyDescent="0.2">
      <c r="H982" s="1"/>
      <c r="O982" s="1"/>
    </row>
    <row r="983" spans="8:15" ht="12.75" x14ac:dyDescent="0.2">
      <c r="H983" s="1"/>
      <c r="O983" s="1"/>
    </row>
    <row r="984" spans="8:15" ht="12.75" x14ac:dyDescent="0.2">
      <c r="H984" s="1"/>
      <c r="O984" s="1"/>
    </row>
    <row r="985" spans="8:15" ht="12.75" x14ac:dyDescent="0.2">
      <c r="H985" s="1"/>
      <c r="O985" s="1"/>
    </row>
    <row r="986" spans="8:15" ht="12.75" x14ac:dyDescent="0.2">
      <c r="H986" s="1"/>
      <c r="O986" s="1"/>
    </row>
    <row r="987" spans="8:15" ht="12.75" x14ac:dyDescent="0.2">
      <c r="H987" s="1"/>
      <c r="O987" s="1"/>
    </row>
    <row r="988" spans="8:15" ht="12.75" x14ac:dyDescent="0.2">
      <c r="H988" s="1"/>
      <c r="O988" s="1"/>
    </row>
    <row r="989" spans="8:15" ht="12.75" x14ac:dyDescent="0.2">
      <c r="H989" s="1"/>
      <c r="O989" s="1"/>
    </row>
    <row r="990" spans="8:15" ht="12.75" x14ac:dyDescent="0.2">
      <c r="H990" s="1"/>
      <c r="O990" s="1"/>
    </row>
    <row r="991" spans="8:15" ht="12.75" x14ac:dyDescent="0.2">
      <c r="H991" s="1"/>
      <c r="O991" s="1"/>
    </row>
    <row r="992" spans="8:15" ht="12.75" x14ac:dyDescent="0.2">
      <c r="H992" s="1"/>
      <c r="O992" s="1"/>
    </row>
    <row r="993" spans="8:15" ht="12.75" x14ac:dyDescent="0.2">
      <c r="H993" s="1"/>
      <c r="O993" s="1"/>
    </row>
    <row r="994" spans="8:15" ht="12.75" x14ac:dyDescent="0.2">
      <c r="H994" s="1"/>
      <c r="O994" s="1"/>
    </row>
    <row r="995" spans="8:15" ht="12.75" x14ac:dyDescent="0.2">
      <c r="H995" s="1"/>
      <c r="O995" s="1"/>
    </row>
    <row r="996" spans="8:15" ht="12.75" x14ac:dyDescent="0.2">
      <c r="H996" s="1"/>
      <c r="O996" s="1"/>
    </row>
    <row r="997" spans="8:15" ht="12.75" x14ac:dyDescent="0.2">
      <c r="H997" s="1"/>
      <c r="O997" s="1"/>
    </row>
    <row r="998" spans="8:15" ht="12.75" x14ac:dyDescent="0.2">
      <c r="H998" s="1"/>
      <c r="O998" s="1"/>
    </row>
    <row r="999" spans="8:15" ht="12.75" x14ac:dyDescent="0.2">
      <c r="H999" s="1"/>
      <c r="O999" s="1"/>
    </row>
    <row r="1000" spans="8:15" ht="12.75" x14ac:dyDescent="0.2">
      <c r="H1000" s="1"/>
      <c r="O1000" s="1"/>
    </row>
    <row r="1001" spans="8:15" ht="12.75" x14ac:dyDescent="0.2">
      <c r="H1001" s="1"/>
      <c r="O1001" s="1"/>
    </row>
    <row r="1002" spans="8:15" ht="12.75" x14ac:dyDescent="0.2">
      <c r="H1002" s="1"/>
      <c r="O1002" s="1"/>
    </row>
    <row r="1003" spans="8:15" ht="12.75" x14ac:dyDescent="0.2">
      <c r="H1003" s="1"/>
      <c r="O1003" s="1"/>
    </row>
    <row r="1004" spans="8:15" ht="12.75" x14ac:dyDescent="0.2">
      <c r="H1004" s="1"/>
      <c r="O1004" s="1"/>
    </row>
    <row r="1005" spans="8:15" ht="12.75" x14ac:dyDescent="0.2">
      <c r="H1005" s="1"/>
      <c r="O1005" s="1"/>
    </row>
    <row r="1006" spans="8:15" ht="12.75" x14ac:dyDescent="0.2">
      <c r="H1006" s="1"/>
      <c r="O1006" s="1"/>
    </row>
    <row r="1007" spans="8:15" ht="12.75" x14ac:dyDescent="0.2">
      <c r="H1007" s="1"/>
      <c r="O1007" s="1"/>
    </row>
    <row r="1008" spans="8:15" ht="12.75" x14ac:dyDescent="0.2">
      <c r="H1008" s="1"/>
      <c r="O1008" s="1"/>
    </row>
    <row r="1009" spans="8:15" ht="12.75" x14ac:dyDescent="0.2">
      <c r="H1009" s="1"/>
      <c r="O1009" s="1"/>
    </row>
    <row r="1010" spans="8:15" ht="12.75" x14ac:dyDescent="0.2">
      <c r="H1010" s="1"/>
      <c r="O1010" s="1"/>
    </row>
    <row r="1011" spans="8:15" ht="12.75" x14ac:dyDescent="0.2">
      <c r="H1011" s="1"/>
      <c r="O1011" s="1"/>
    </row>
    <row r="1012" spans="8:15" ht="12.75" x14ac:dyDescent="0.2">
      <c r="H1012" s="1"/>
      <c r="O1012" s="1"/>
    </row>
    <row r="1013" spans="8:15" ht="12.75" x14ac:dyDescent="0.2">
      <c r="H1013" s="1"/>
      <c r="O1013" s="1"/>
    </row>
    <row r="1014" spans="8:15" ht="12.75" x14ac:dyDescent="0.2">
      <c r="H1014" s="1"/>
      <c r="O1014" s="1"/>
    </row>
    <row r="1015" spans="8:15" ht="12.75" x14ac:dyDescent="0.2">
      <c r="H1015" s="1"/>
      <c r="O1015" s="1"/>
    </row>
    <row r="1016" spans="8:15" ht="12.75" x14ac:dyDescent="0.2">
      <c r="H1016" s="1"/>
      <c r="O1016" s="1"/>
    </row>
    <row r="1017" spans="8:15" ht="12.75" x14ac:dyDescent="0.2">
      <c r="H1017" s="1"/>
      <c r="O1017" s="1"/>
    </row>
    <row r="1018" spans="8:15" ht="12.75" x14ac:dyDescent="0.2">
      <c r="H1018" s="1"/>
      <c r="O1018" s="1"/>
    </row>
    <row r="1019" spans="8:15" ht="12.75" x14ac:dyDescent="0.2">
      <c r="H1019" s="1"/>
      <c r="O1019" s="1"/>
    </row>
  </sheetData>
  <mergeCells count="75">
    <mergeCell ref="D47:D50"/>
    <mergeCell ref="E47:E50"/>
    <mergeCell ref="D51:D54"/>
    <mergeCell ref="E51:E54"/>
    <mergeCell ref="D55:D58"/>
    <mergeCell ref="E55:E58"/>
    <mergeCell ref="D32:D37"/>
    <mergeCell ref="E32:E37"/>
    <mergeCell ref="D39:D42"/>
    <mergeCell ref="E39:E42"/>
    <mergeCell ref="E43:E46"/>
    <mergeCell ref="D43:D46"/>
    <mergeCell ref="E11:E14"/>
    <mergeCell ref="E26:E29"/>
    <mergeCell ref="C26:C29"/>
    <mergeCell ref="D26:D29"/>
    <mergeCell ref="D11:D14"/>
    <mergeCell ref="D15:D17"/>
    <mergeCell ref="E15:E17"/>
    <mergeCell ref="C18:C22"/>
    <mergeCell ref="D18:D22"/>
    <mergeCell ref="E18:E22"/>
    <mergeCell ref="D23:D25"/>
    <mergeCell ref="E23:E25"/>
    <mergeCell ref="C15:C17"/>
    <mergeCell ref="C11:C14"/>
    <mergeCell ref="C23:C25"/>
    <mergeCell ref="C3:C6"/>
    <mergeCell ref="D3:D6"/>
    <mergeCell ref="E3:E6"/>
    <mergeCell ref="D7:D10"/>
    <mergeCell ref="E7:E10"/>
    <mergeCell ref="C7:C10"/>
    <mergeCell ref="C84:E84"/>
    <mergeCell ref="D59:D62"/>
    <mergeCell ref="E59:E62"/>
    <mergeCell ref="D63:D66"/>
    <mergeCell ref="E63:E66"/>
    <mergeCell ref="D67:D70"/>
    <mergeCell ref="E67:E70"/>
    <mergeCell ref="E71:E74"/>
    <mergeCell ref="E75:E78"/>
    <mergeCell ref="C71:C74"/>
    <mergeCell ref="Q71:Q74"/>
    <mergeCell ref="Q3:Q6"/>
    <mergeCell ref="Q7:Q10"/>
    <mergeCell ref="B32:B78"/>
    <mergeCell ref="C32:C37"/>
    <mergeCell ref="C39:C42"/>
    <mergeCell ref="C43:C46"/>
    <mergeCell ref="C47:C50"/>
    <mergeCell ref="C75:C78"/>
    <mergeCell ref="C51:C54"/>
    <mergeCell ref="C55:C58"/>
    <mergeCell ref="C59:C62"/>
    <mergeCell ref="C63:C66"/>
    <mergeCell ref="C67:C70"/>
    <mergeCell ref="D71:D74"/>
    <mergeCell ref="D75:D78"/>
    <mergeCell ref="Q11:Q14"/>
    <mergeCell ref="Q15:Q17"/>
    <mergeCell ref="Q18:Q22"/>
    <mergeCell ref="B3:B29"/>
    <mergeCell ref="Q75:Q78"/>
    <mergeCell ref="Q32:Q37"/>
    <mergeCell ref="Q39:Q42"/>
    <mergeCell ref="Q43:Q46"/>
    <mergeCell ref="Q47:Q50"/>
    <mergeCell ref="Q51:Q54"/>
    <mergeCell ref="Q55:Q58"/>
    <mergeCell ref="Q59:Q62"/>
    <mergeCell ref="Q23:Q25"/>
    <mergeCell ref="Q26:Q29"/>
    <mergeCell ref="Q63:Q66"/>
    <mergeCell ref="Q67:Q70"/>
  </mergeCells>
  <conditionalFormatting sqref="G3:G29 G32:G37 G39:G78 G81">
    <cfRule type="cellIs" dxfId="1" priority="1" operator="equal">
      <formula>0</formula>
    </cfRule>
    <cfRule type="cellIs" dxfId="0" priority="2" operator="notEqual">
      <formula>0</formula>
    </cfRule>
  </conditionalFormatting>
  <dataValidations count="1">
    <dataValidation type="list" allowBlank="1" showErrorMessage="1" sqref="O3:O29 O32:O78" xr:uid="{00000000-0002-0000-0000-000000000000}">
      <formula1>"1º Trim,2º Trim,3º Trim,4º Trim,5º Trim,6º Trim,7º Trim"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57"/>
  <sheetViews>
    <sheetView workbookViewId="0">
      <selection activeCell="C3" sqref="C3"/>
    </sheetView>
  </sheetViews>
  <sheetFormatPr baseColWidth="10" defaultColWidth="12.5703125" defaultRowHeight="15.75" customHeight="1" x14ac:dyDescent="0.2"/>
  <cols>
    <col min="1" max="1" width="3.85546875" customWidth="1"/>
    <col min="2" max="2" width="27.140625" customWidth="1"/>
    <col min="3" max="3" width="46.42578125" customWidth="1"/>
    <col min="4" max="4" width="13.140625" customWidth="1"/>
    <col min="5" max="5" width="4.7109375" customWidth="1"/>
    <col min="6" max="6" width="35.5703125" customWidth="1"/>
    <col min="7" max="7" width="38" customWidth="1"/>
  </cols>
  <sheetData>
    <row r="2" spans="2:8" ht="33" customHeight="1" x14ac:dyDescent="0.2">
      <c r="B2" s="208" t="s">
        <v>128</v>
      </c>
      <c r="C2" s="181"/>
      <c r="D2" s="2" t="s">
        <v>1</v>
      </c>
      <c r="F2" s="208" t="s">
        <v>129</v>
      </c>
      <c r="G2" s="181"/>
      <c r="H2" s="2" t="s">
        <v>1</v>
      </c>
    </row>
    <row r="3" spans="2:8" ht="56.25" customHeight="1" x14ac:dyDescent="0.2">
      <c r="B3" s="12" t="s">
        <v>130</v>
      </c>
      <c r="C3" s="128" t="s">
        <v>131</v>
      </c>
      <c r="D3" s="129">
        <v>77</v>
      </c>
      <c r="F3" s="12" t="s">
        <v>132</v>
      </c>
      <c r="G3" s="128" t="s">
        <v>133</v>
      </c>
      <c r="H3" s="129">
        <v>70</v>
      </c>
    </row>
    <row r="4" spans="2:8" ht="37.5" customHeight="1" x14ac:dyDescent="0.2">
      <c r="B4" s="3" t="s">
        <v>134</v>
      </c>
      <c r="C4" s="130" t="s">
        <v>135</v>
      </c>
      <c r="D4" s="131">
        <v>77</v>
      </c>
      <c r="F4" s="3" t="s">
        <v>136</v>
      </c>
      <c r="G4" s="130" t="s">
        <v>137</v>
      </c>
      <c r="H4" s="131">
        <v>71</v>
      </c>
    </row>
    <row r="5" spans="2:8" ht="12.75" x14ac:dyDescent="0.2">
      <c r="B5" s="12" t="s">
        <v>138</v>
      </c>
      <c r="C5" s="128" t="s">
        <v>139</v>
      </c>
      <c r="D5" s="129">
        <v>144</v>
      </c>
      <c r="F5" s="12" t="s">
        <v>140</v>
      </c>
      <c r="G5" s="128" t="s">
        <v>141</v>
      </c>
      <c r="H5" s="129">
        <v>70</v>
      </c>
    </row>
    <row r="6" spans="2:8" ht="12.75" x14ac:dyDescent="0.2">
      <c r="B6" s="3"/>
      <c r="C6" s="130"/>
      <c r="D6" s="131"/>
      <c r="F6" s="3" t="s">
        <v>142</v>
      </c>
      <c r="G6" s="130" t="s">
        <v>143</v>
      </c>
      <c r="H6" s="131">
        <v>77</v>
      </c>
    </row>
    <row r="7" spans="2:8" ht="12.75" x14ac:dyDescent="0.2">
      <c r="B7" s="62"/>
      <c r="C7" s="128"/>
      <c r="D7" s="129"/>
      <c r="F7" s="12"/>
      <c r="G7" s="128"/>
      <c r="H7" s="129"/>
    </row>
    <row r="8" spans="2:8" ht="12.75" x14ac:dyDescent="0.2">
      <c r="B8" s="3"/>
      <c r="C8" s="130"/>
      <c r="D8" s="131"/>
      <c r="F8" s="3"/>
      <c r="G8" s="130"/>
      <c r="H8" s="131"/>
    </row>
    <row r="9" spans="2:8" x14ac:dyDescent="0.2">
      <c r="B9" s="12"/>
      <c r="C9" s="13"/>
      <c r="D9" s="129"/>
      <c r="F9" s="12"/>
      <c r="G9" s="128"/>
      <c r="H9" s="129"/>
    </row>
    <row r="10" spans="2:8" ht="12.75" x14ac:dyDescent="0.2">
      <c r="B10" s="63" t="s">
        <v>144</v>
      </c>
      <c r="C10" s="64" t="s">
        <v>145</v>
      </c>
      <c r="D10" s="132">
        <v>48</v>
      </c>
      <c r="F10" s="3"/>
      <c r="G10" s="130"/>
      <c r="H10" s="131"/>
    </row>
    <row r="11" spans="2:8" ht="12.75" x14ac:dyDescent="0.2">
      <c r="B11" s="65" t="s">
        <v>146</v>
      </c>
      <c r="C11" s="133" t="s">
        <v>147</v>
      </c>
      <c r="D11" s="66">
        <v>48</v>
      </c>
      <c r="F11" s="65" t="s">
        <v>148</v>
      </c>
      <c r="G11" s="133" t="s">
        <v>145</v>
      </c>
      <c r="H11" s="66">
        <v>48</v>
      </c>
    </row>
    <row r="12" spans="2:8" ht="12.75" x14ac:dyDescent="0.2">
      <c r="B12" s="63" t="s">
        <v>149</v>
      </c>
      <c r="C12" s="64" t="s">
        <v>150</v>
      </c>
      <c r="D12" s="132">
        <v>48</v>
      </c>
      <c r="F12" s="63" t="s">
        <v>151</v>
      </c>
      <c r="G12" s="64" t="s">
        <v>152</v>
      </c>
      <c r="H12" s="132">
        <v>48</v>
      </c>
    </row>
    <row r="13" spans="2:8" ht="12.75" x14ac:dyDescent="0.2">
      <c r="B13" s="67" t="s">
        <v>153</v>
      </c>
      <c r="C13" s="134" t="s">
        <v>154</v>
      </c>
      <c r="D13" s="68">
        <v>48</v>
      </c>
      <c r="F13" s="67" t="s">
        <v>155</v>
      </c>
      <c r="G13" s="134" t="s">
        <v>156</v>
      </c>
      <c r="H13" s="68">
        <v>48</v>
      </c>
    </row>
    <row r="14" spans="2:8" ht="16.5" x14ac:dyDescent="0.2">
      <c r="D14" s="2" t="str">
        <f>SUM(D3:D13)&amp;" Horas"</f>
        <v>490 Horas</v>
      </c>
      <c r="H14" s="2" t="str">
        <f>SUM(H3:H13)&amp;" Horas"</f>
        <v>432 Horas</v>
      </c>
    </row>
    <row r="16" spans="2:8" ht="36" customHeight="1" x14ac:dyDescent="0.2">
      <c r="B16" s="208" t="s">
        <v>157</v>
      </c>
      <c r="C16" s="181"/>
      <c r="D16" s="2" t="s">
        <v>1</v>
      </c>
      <c r="F16" s="208" t="s">
        <v>158</v>
      </c>
      <c r="G16" s="181"/>
      <c r="H16" s="2" t="s">
        <v>1</v>
      </c>
    </row>
    <row r="17" spans="2:8" ht="25.5" x14ac:dyDescent="0.2">
      <c r="B17" s="12" t="s">
        <v>159</v>
      </c>
      <c r="C17" s="128" t="s">
        <v>160</v>
      </c>
      <c r="D17" s="129"/>
      <c r="F17" s="12" t="s">
        <v>161</v>
      </c>
      <c r="G17" s="128" t="s">
        <v>162</v>
      </c>
      <c r="H17" s="129">
        <v>84</v>
      </c>
    </row>
    <row r="18" spans="2:8" ht="12.75" x14ac:dyDescent="0.2">
      <c r="B18" s="3" t="s">
        <v>163</v>
      </c>
      <c r="C18" s="130" t="s">
        <v>164</v>
      </c>
      <c r="D18" s="131">
        <v>84</v>
      </c>
      <c r="F18" s="3" t="s">
        <v>165</v>
      </c>
      <c r="G18" s="130" t="s">
        <v>166</v>
      </c>
      <c r="H18" s="131">
        <v>48</v>
      </c>
    </row>
    <row r="19" spans="2:8" ht="12.75" x14ac:dyDescent="0.2">
      <c r="B19" s="12" t="s">
        <v>167</v>
      </c>
      <c r="C19" s="128" t="s">
        <v>168</v>
      </c>
      <c r="D19" s="129">
        <v>84</v>
      </c>
      <c r="F19" s="12" t="s">
        <v>169</v>
      </c>
      <c r="G19" s="128" t="s">
        <v>170</v>
      </c>
      <c r="H19" s="129">
        <v>50</v>
      </c>
    </row>
    <row r="20" spans="2:8" ht="12.75" x14ac:dyDescent="0.2">
      <c r="B20" s="3" t="s">
        <v>171</v>
      </c>
      <c r="C20" s="130" t="s">
        <v>172</v>
      </c>
      <c r="D20" s="131">
        <v>48</v>
      </c>
      <c r="F20" s="3" t="s">
        <v>173</v>
      </c>
      <c r="G20" s="130" t="s">
        <v>174</v>
      </c>
      <c r="H20" s="131">
        <v>56</v>
      </c>
    </row>
    <row r="21" spans="2:8" ht="21.75" customHeight="1" x14ac:dyDescent="0.2">
      <c r="B21" s="12" t="s">
        <v>175</v>
      </c>
      <c r="C21" s="128" t="s">
        <v>176</v>
      </c>
      <c r="D21" s="129"/>
      <c r="F21" s="12" t="s">
        <v>177</v>
      </c>
      <c r="G21" s="128" t="s">
        <v>178</v>
      </c>
      <c r="H21" s="129">
        <v>48</v>
      </c>
    </row>
    <row r="22" spans="2:8" ht="25.5" customHeight="1" x14ac:dyDescent="0.2">
      <c r="B22" s="3" t="s">
        <v>179</v>
      </c>
      <c r="C22" s="130" t="s">
        <v>180</v>
      </c>
      <c r="D22" s="131"/>
      <c r="F22" s="3" t="s">
        <v>181</v>
      </c>
      <c r="G22" s="130" t="s">
        <v>182</v>
      </c>
      <c r="H22" s="131"/>
    </row>
    <row r="23" spans="2:8" ht="25.5" x14ac:dyDescent="0.2">
      <c r="B23" s="12" t="s">
        <v>183</v>
      </c>
      <c r="C23" s="128" t="s">
        <v>184</v>
      </c>
      <c r="D23" s="129"/>
      <c r="F23" s="12" t="s">
        <v>185</v>
      </c>
      <c r="G23" s="128" t="s">
        <v>186</v>
      </c>
      <c r="H23" s="129"/>
    </row>
    <row r="24" spans="2:8" ht="12.75" x14ac:dyDescent="0.2">
      <c r="B24" s="3" t="s">
        <v>187</v>
      </c>
      <c r="C24" s="130" t="s">
        <v>188</v>
      </c>
      <c r="D24" s="131"/>
      <c r="F24" s="3" t="s">
        <v>189</v>
      </c>
      <c r="G24" s="130" t="s">
        <v>190</v>
      </c>
      <c r="H24" s="131"/>
    </row>
    <row r="25" spans="2:8" x14ac:dyDescent="0.2">
      <c r="B25" s="12" t="s">
        <v>191</v>
      </c>
      <c r="C25" s="128" t="s">
        <v>191</v>
      </c>
      <c r="D25" s="129"/>
      <c r="F25" s="12"/>
      <c r="G25" s="13"/>
      <c r="H25" s="129"/>
    </row>
    <row r="26" spans="2:8" ht="12.75" x14ac:dyDescent="0.2">
      <c r="B26" s="3" t="s">
        <v>192</v>
      </c>
      <c r="C26" s="130" t="s">
        <v>193</v>
      </c>
      <c r="D26" s="131">
        <v>70</v>
      </c>
      <c r="F26" s="3"/>
      <c r="G26" s="130"/>
      <c r="H26" s="131"/>
    </row>
    <row r="27" spans="2:8" ht="12.75" x14ac:dyDescent="0.2">
      <c r="B27" s="65" t="s">
        <v>194</v>
      </c>
      <c r="C27" s="133" t="s">
        <v>145</v>
      </c>
      <c r="D27" s="66">
        <v>48</v>
      </c>
      <c r="F27" s="65" t="s">
        <v>195</v>
      </c>
      <c r="G27" s="133" t="s">
        <v>145</v>
      </c>
      <c r="H27" s="66">
        <v>48</v>
      </c>
    </row>
    <row r="28" spans="2:8" ht="25.5" x14ac:dyDescent="0.2">
      <c r="B28" s="63" t="s">
        <v>196</v>
      </c>
      <c r="C28" s="64"/>
      <c r="D28" s="132">
        <v>48</v>
      </c>
      <c r="F28" s="63" t="s">
        <v>197</v>
      </c>
      <c r="G28" s="64"/>
      <c r="H28" s="132">
        <v>48</v>
      </c>
    </row>
    <row r="29" spans="2:8" ht="12.75" x14ac:dyDescent="0.2">
      <c r="B29" s="67" t="s">
        <v>198</v>
      </c>
      <c r="C29" s="134"/>
      <c r="D29" s="68">
        <v>48</v>
      </c>
      <c r="F29" s="67" t="s">
        <v>199</v>
      </c>
      <c r="G29" s="134"/>
      <c r="H29" s="68">
        <v>48</v>
      </c>
    </row>
    <row r="30" spans="2:8" ht="16.5" x14ac:dyDescent="0.2">
      <c r="D30" s="2" t="str">
        <f>SUM(D17:D29)&amp;" Horas"</f>
        <v>430 Horas</v>
      </c>
      <c r="H30" s="2" t="str">
        <f>SUM(H17:H29)&amp;" Horas"</f>
        <v>430 Horas</v>
      </c>
    </row>
    <row r="32" spans="2:8" ht="33" customHeight="1" x14ac:dyDescent="0.2">
      <c r="B32" s="208" t="s">
        <v>200</v>
      </c>
      <c r="C32" s="181"/>
      <c r="D32" s="2" t="s">
        <v>1</v>
      </c>
      <c r="F32" s="208" t="s">
        <v>201</v>
      </c>
      <c r="G32" s="181"/>
      <c r="H32" s="2" t="s">
        <v>1</v>
      </c>
    </row>
    <row r="33" spans="2:8" ht="12.75" x14ac:dyDescent="0.2">
      <c r="B33" s="12" t="s">
        <v>202</v>
      </c>
      <c r="C33" s="128" t="s">
        <v>203</v>
      </c>
      <c r="D33" s="129">
        <v>84</v>
      </c>
      <c r="F33" s="12" t="s">
        <v>204</v>
      </c>
      <c r="G33" s="128" t="s">
        <v>205</v>
      </c>
      <c r="H33" s="129">
        <v>31</v>
      </c>
    </row>
    <row r="34" spans="2:8" ht="12.75" x14ac:dyDescent="0.2">
      <c r="B34" s="3" t="s">
        <v>206</v>
      </c>
      <c r="C34" s="130" t="s">
        <v>207</v>
      </c>
      <c r="D34" s="131">
        <v>48</v>
      </c>
      <c r="F34" s="3" t="s">
        <v>208</v>
      </c>
      <c r="G34" s="130" t="s">
        <v>209</v>
      </c>
      <c r="H34" s="131">
        <v>30</v>
      </c>
    </row>
    <row r="35" spans="2:8" ht="12.75" x14ac:dyDescent="0.2">
      <c r="B35" s="12" t="s">
        <v>210</v>
      </c>
      <c r="C35" s="128" t="s">
        <v>211</v>
      </c>
      <c r="D35" s="129">
        <v>30</v>
      </c>
      <c r="F35" s="12" t="s">
        <v>212</v>
      </c>
      <c r="G35" s="128" t="s">
        <v>213</v>
      </c>
      <c r="H35" s="129">
        <v>45</v>
      </c>
    </row>
    <row r="36" spans="2:8" ht="12.75" x14ac:dyDescent="0.2">
      <c r="B36" s="3" t="s">
        <v>214</v>
      </c>
      <c r="C36" s="130" t="s">
        <v>215</v>
      </c>
      <c r="D36" s="131">
        <v>76</v>
      </c>
      <c r="F36" s="3" t="s">
        <v>216</v>
      </c>
      <c r="G36" s="130" t="s">
        <v>217</v>
      </c>
      <c r="H36" s="131">
        <v>92</v>
      </c>
    </row>
    <row r="37" spans="2:8" ht="12.75" x14ac:dyDescent="0.2">
      <c r="B37" s="12" t="s">
        <v>218</v>
      </c>
      <c r="C37" s="128"/>
      <c r="D37" s="129">
        <v>48</v>
      </c>
      <c r="F37" s="12" t="s">
        <v>219</v>
      </c>
      <c r="G37" s="128"/>
      <c r="H37" s="129">
        <v>64</v>
      </c>
    </row>
    <row r="38" spans="2:8" x14ac:dyDescent="0.2">
      <c r="B38" s="3"/>
      <c r="C38" s="4"/>
      <c r="D38" s="131"/>
      <c r="F38" s="3" t="s">
        <v>220</v>
      </c>
      <c r="G38" s="4"/>
      <c r="H38" s="131">
        <v>48</v>
      </c>
    </row>
    <row r="39" spans="2:8" x14ac:dyDescent="0.2">
      <c r="B39" s="12"/>
      <c r="C39" s="13"/>
      <c r="D39" s="129"/>
      <c r="F39" s="12" t="s">
        <v>221</v>
      </c>
      <c r="G39" s="13"/>
      <c r="H39" s="129">
        <v>36</v>
      </c>
    </row>
    <row r="40" spans="2:8" x14ac:dyDescent="0.2">
      <c r="B40" s="3"/>
      <c r="C40" s="4"/>
      <c r="D40" s="131"/>
      <c r="F40" s="3" t="s">
        <v>222</v>
      </c>
      <c r="G40" s="4"/>
      <c r="H40" s="131">
        <v>36</v>
      </c>
    </row>
    <row r="41" spans="2:8" x14ac:dyDescent="0.2">
      <c r="B41" s="65" t="s">
        <v>223</v>
      </c>
      <c r="C41" s="133" t="s">
        <v>145</v>
      </c>
      <c r="D41" s="66">
        <v>48</v>
      </c>
      <c r="F41" s="12"/>
      <c r="G41" s="13"/>
      <c r="H41" s="129"/>
    </row>
    <row r="42" spans="2:8" x14ac:dyDescent="0.2">
      <c r="B42" s="63" t="s">
        <v>224</v>
      </c>
      <c r="C42" s="64"/>
      <c r="D42" s="132">
        <v>48</v>
      </c>
      <c r="F42" s="3"/>
      <c r="G42" s="4"/>
      <c r="H42" s="131"/>
    </row>
    <row r="43" spans="2:8" ht="25.5" x14ac:dyDescent="0.2">
      <c r="B43" s="67" t="s">
        <v>225</v>
      </c>
      <c r="C43" s="134"/>
      <c r="D43" s="68">
        <v>48</v>
      </c>
      <c r="F43" s="67" t="s">
        <v>223</v>
      </c>
      <c r="G43" s="134" t="s">
        <v>145</v>
      </c>
      <c r="H43" s="68">
        <v>48</v>
      </c>
    </row>
    <row r="44" spans="2:8" ht="16.5" x14ac:dyDescent="0.2">
      <c r="D44" s="2" t="str">
        <f>SUM(D32:D43)&amp;" Horas"</f>
        <v>430 Horas</v>
      </c>
      <c r="H44" s="2" t="str">
        <f>SUM(H32:H43)&amp;" Horas"</f>
        <v>430 Horas</v>
      </c>
    </row>
    <row r="47" spans="2:8" ht="32.25" customHeight="1" x14ac:dyDescent="0.2">
      <c r="B47" s="208" t="s">
        <v>226</v>
      </c>
      <c r="C47" s="181"/>
      <c r="D47" s="2" t="s">
        <v>1</v>
      </c>
    </row>
    <row r="48" spans="2:8" ht="12.75" x14ac:dyDescent="0.2">
      <c r="B48" s="12" t="s">
        <v>227</v>
      </c>
      <c r="C48" s="128" t="s">
        <v>228</v>
      </c>
      <c r="D48" s="129">
        <v>32</v>
      </c>
    </row>
    <row r="49" spans="2:4" ht="12.75" x14ac:dyDescent="0.2">
      <c r="B49" s="3" t="s">
        <v>229</v>
      </c>
      <c r="C49" s="130" t="s">
        <v>230</v>
      </c>
      <c r="D49" s="131">
        <v>40</v>
      </c>
    </row>
    <row r="50" spans="2:4" ht="12.75" x14ac:dyDescent="0.2">
      <c r="B50" s="12" t="s">
        <v>231</v>
      </c>
      <c r="C50" s="128"/>
      <c r="D50" s="129">
        <v>95</v>
      </c>
    </row>
    <row r="51" spans="2:4" ht="12.75" x14ac:dyDescent="0.2">
      <c r="B51" s="3" t="s">
        <v>232</v>
      </c>
      <c r="C51" s="130"/>
      <c r="D51" s="131">
        <v>143</v>
      </c>
    </row>
    <row r="52" spans="2:4" ht="12.75" x14ac:dyDescent="0.2">
      <c r="B52" s="12" t="s">
        <v>233</v>
      </c>
      <c r="C52" s="128"/>
      <c r="D52" s="129">
        <v>36</v>
      </c>
    </row>
    <row r="53" spans="2:4" x14ac:dyDescent="0.2">
      <c r="B53" s="3" t="s">
        <v>234</v>
      </c>
      <c r="C53" s="4"/>
      <c r="D53" s="131">
        <v>36</v>
      </c>
    </row>
    <row r="54" spans="2:4" x14ac:dyDescent="0.2">
      <c r="B54" s="12"/>
      <c r="C54" s="13"/>
      <c r="D54" s="129"/>
    </row>
    <row r="55" spans="2:4" x14ac:dyDescent="0.2">
      <c r="B55" s="3"/>
      <c r="C55" s="4"/>
      <c r="D55" s="131"/>
    </row>
    <row r="56" spans="2:4" ht="12.75" x14ac:dyDescent="0.2">
      <c r="B56" s="67" t="s">
        <v>235</v>
      </c>
      <c r="C56" s="134" t="s">
        <v>145</v>
      </c>
      <c r="D56" s="68">
        <v>48</v>
      </c>
    </row>
    <row r="57" spans="2:4" ht="16.5" x14ac:dyDescent="0.2">
      <c r="D57" s="2" t="str">
        <f>SUM(D45:D56)&amp;" Horas"</f>
        <v>430 Horas</v>
      </c>
    </row>
  </sheetData>
  <mergeCells count="7">
    <mergeCell ref="B47:C47"/>
    <mergeCell ref="B2:C2"/>
    <mergeCell ref="F2:G2"/>
    <mergeCell ref="B16:C16"/>
    <mergeCell ref="F16:G16"/>
    <mergeCell ref="B32:C32"/>
    <mergeCell ref="F32:G32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C9"/>
  <sheetViews>
    <sheetView workbookViewId="0"/>
  </sheetViews>
  <sheetFormatPr baseColWidth="10" defaultColWidth="12.5703125" defaultRowHeight="15.75" customHeight="1" x14ac:dyDescent="0.2"/>
  <cols>
    <col min="1" max="1" width="4.140625" customWidth="1"/>
    <col min="2" max="2" width="18.42578125" customWidth="1"/>
    <col min="3" max="3" width="177.140625" customWidth="1"/>
  </cols>
  <sheetData>
    <row r="2" spans="2:3" ht="36.75" customHeight="1" x14ac:dyDescent="0.2">
      <c r="B2" s="2" t="s">
        <v>2</v>
      </c>
      <c r="C2" s="2" t="s">
        <v>236</v>
      </c>
    </row>
    <row r="3" spans="2:3" ht="90" x14ac:dyDescent="0.2">
      <c r="B3" s="4" t="s">
        <v>237</v>
      </c>
      <c r="C3" s="69" t="s">
        <v>238</v>
      </c>
    </row>
    <row r="4" spans="2:3" ht="409.5" x14ac:dyDescent="0.2">
      <c r="B4" s="13" t="s">
        <v>239</v>
      </c>
      <c r="C4" s="70" t="s">
        <v>240</v>
      </c>
    </row>
    <row r="5" spans="2:3" ht="409.5" x14ac:dyDescent="0.2">
      <c r="B5" s="4" t="s">
        <v>241</v>
      </c>
      <c r="C5" s="69" t="s">
        <v>242</v>
      </c>
    </row>
    <row r="6" spans="2:3" ht="180" x14ac:dyDescent="0.2">
      <c r="B6" s="13" t="s">
        <v>243</v>
      </c>
      <c r="C6" s="70" t="s">
        <v>244</v>
      </c>
    </row>
    <row r="7" spans="2:3" ht="236.25" x14ac:dyDescent="0.2">
      <c r="B7" s="4" t="s">
        <v>245</v>
      </c>
      <c r="C7" s="69" t="s">
        <v>246</v>
      </c>
    </row>
    <row r="8" spans="2:3" ht="270" x14ac:dyDescent="0.2">
      <c r="B8" s="13" t="s">
        <v>247</v>
      </c>
      <c r="C8" s="70" t="s">
        <v>248</v>
      </c>
    </row>
    <row r="9" spans="2:3" ht="213.75" x14ac:dyDescent="0.2">
      <c r="B9" s="4" t="s">
        <v>249</v>
      </c>
      <c r="C9" s="69" t="s">
        <v>250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M36"/>
  <sheetViews>
    <sheetView workbookViewId="0">
      <pane ySplit="2" topLeftCell="A3" activePane="bottomLeft" state="frozen"/>
      <selection pane="bottomLeft" activeCell="E42" sqref="E42:E43"/>
    </sheetView>
  </sheetViews>
  <sheetFormatPr baseColWidth="10" defaultColWidth="12.5703125" defaultRowHeight="15.75" customHeight="1" x14ac:dyDescent="0.2"/>
  <cols>
    <col min="1" max="1" width="2.85546875" customWidth="1"/>
    <col min="2" max="2" width="15" customWidth="1"/>
    <col min="3" max="3" width="37" customWidth="1"/>
    <col min="4" max="4" width="8.85546875" customWidth="1"/>
    <col min="5" max="5" width="91.28515625" customWidth="1"/>
    <col min="6" max="6" width="27.42578125" customWidth="1"/>
    <col min="7" max="7" width="22.140625" customWidth="1"/>
    <col min="8" max="8" width="17.5703125" customWidth="1"/>
    <col min="9" max="9" width="15.7109375" customWidth="1"/>
    <col min="10" max="10" width="13.42578125" customWidth="1"/>
  </cols>
  <sheetData>
    <row r="2" spans="2:13" ht="33" customHeight="1" x14ac:dyDescent="0.2">
      <c r="B2" s="2" t="s">
        <v>0</v>
      </c>
      <c r="C2" s="2" t="s">
        <v>2</v>
      </c>
      <c r="D2" s="2" t="s">
        <v>1</v>
      </c>
      <c r="E2" s="2" t="s">
        <v>13</v>
      </c>
      <c r="F2" s="2" t="s">
        <v>251</v>
      </c>
      <c r="G2" s="2" t="s">
        <v>14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</row>
    <row r="3" spans="2:13" ht="31.5" x14ac:dyDescent="0.2">
      <c r="B3" s="71">
        <v>220501092</v>
      </c>
      <c r="C3" s="72" t="s">
        <v>16</v>
      </c>
      <c r="D3" s="73">
        <v>36</v>
      </c>
      <c r="E3" s="74" t="s">
        <v>20</v>
      </c>
      <c r="F3" s="75" t="s">
        <v>257</v>
      </c>
      <c r="G3" s="75" t="s">
        <v>19</v>
      </c>
      <c r="H3" s="76" t="s">
        <v>128</v>
      </c>
      <c r="I3" s="77" t="s">
        <v>128</v>
      </c>
      <c r="J3" s="211">
        <f>SUM(D3:D8)</f>
        <v>298</v>
      </c>
      <c r="K3" s="211">
        <f>SUM(Trimestres!D10:D13)</f>
        <v>192</v>
      </c>
      <c r="L3" s="211" t="str">
        <f>SUM(J3,K3)&amp;" horas"</f>
        <v>490 horas</v>
      </c>
      <c r="M3" s="211" t="s">
        <v>258</v>
      </c>
    </row>
    <row r="4" spans="2:13" ht="31.5" x14ac:dyDescent="0.2">
      <c r="B4" s="78">
        <v>220501092</v>
      </c>
      <c r="C4" s="14" t="s">
        <v>16</v>
      </c>
      <c r="D4" s="13">
        <v>36</v>
      </c>
      <c r="E4" s="24" t="s">
        <v>22</v>
      </c>
      <c r="F4" s="8" t="s">
        <v>259</v>
      </c>
      <c r="G4" s="8" t="s">
        <v>19</v>
      </c>
      <c r="H4" s="79" t="s">
        <v>128</v>
      </c>
      <c r="I4" s="80" t="s">
        <v>128</v>
      </c>
      <c r="J4" s="181"/>
      <c r="K4" s="181"/>
      <c r="L4" s="181"/>
      <c r="M4" s="181"/>
    </row>
    <row r="5" spans="2:13" ht="31.5" x14ac:dyDescent="0.2">
      <c r="B5" s="78">
        <v>220501092</v>
      </c>
      <c r="C5" s="14" t="s">
        <v>16</v>
      </c>
      <c r="D5" s="13">
        <v>36</v>
      </c>
      <c r="E5" s="16" t="s">
        <v>18</v>
      </c>
      <c r="F5" s="8" t="s">
        <v>260</v>
      </c>
      <c r="G5" s="8" t="s">
        <v>19</v>
      </c>
      <c r="H5" s="79" t="s">
        <v>128</v>
      </c>
      <c r="I5" s="80" t="s">
        <v>128</v>
      </c>
      <c r="J5" s="181"/>
      <c r="K5" s="181"/>
      <c r="L5" s="181"/>
      <c r="M5" s="181"/>
    </row>
    <row r="6" spans="2:13" ht="31.5" x14ac:dyDescent="0.2">
      <c r="B6" s="78">
        <v>220501092</v>
      </c>
      <c r="C6" s="14" t="s">
        <v>16</v>
      </c>
      <c r="D6" s="13">
        <v>36</v>
      </c>
      <c r="E6" s="16" t="s">
        <v>21</v>
      </c>
      <c r="F6" s="8" t="s">
        <v>261</v>
      </c>
      <c r="G6" s="8" t="s">
        <v>19</v>
      </c>
      <c r="H6" s="81" t="s">
        <v>128</v>
      </c>
      <c r="I6" s="82" t="s">
        <v>128</v>
      </c>
      <c r="J6" s="181"/>
      <c r="K6" s="181"/>
      <c r="L6" s="181"/>
      <c r="M6" s="181"/>
    </row>
    <row r="7" spans="2:13" ht="47.25" x14ac:dyDescent="0.2">
      <c r="B7" s="78">
        <v>220501093</v>
      </c>
      <c r="C7" s="14" t="s">
        <v>23</v>
      </c>
      <c r="D7" s="13">
        <v>77</v>
      </c>
      <c r="E7" s="24" t="s">
        <v>28</v>
      </c>
      <c r="F7" s="17" t="s">
        <v>134</v>
      </c>
      <c r="G7" s="17" t="s">
        <v>26</v>
      </c>
      <c r="H7" s="79" t="s">
        <v>128</v>
      </c>
      <c r="I7" s="80" t="s">
        <v>128</v>
      </c>
      <c r="J7" s="181"/>
      <c r="K7" s="181"/>
      <c r="L7" s="181"/>
      <c r="M7" s="181"/>
    </row>
    <row r="8" spans="2:13" x14ac:dyDescent="0.2">
      <c r="B8" s="83">
        <v>220501096</v>
      </c>
      <c r="C8" s="84" t="s">
        <v>43</v>
      </c>
      <c r="D8" s="85">
        <v>77</v>
      </c>
      <c r="E8" s="19" t="s">
        <v>45</v>
      </c>
      <c r="F8" s="86" t="s">
        <v>130</v>
      </c>
      <c r="G8" s="86" t="s">
        <v>46</v>
      </c>
      <c r="H8" s="87" t="s">
        <v>128</v>
      </c>
      <c r="I8" s="88" t="s">
        <v>129</v>
      </c>
      <c r="J8" s="182"/>
      <c r="K8" s="182"/>
      <c r="L8" s="182"/>
      <c r="M8" s="182"/>
    </row>
    <row r="9" spans="2:13" x14ac:dyDescent="0.2">
      <c r="B9" s="78">
        <v>220501096</v>
      </c>
      <c r="C9" s="14" t="s">
        <v>43</v>
      </c>
      <c r="D9" s="13">
        <v>70</v>
      </c>
      <c r="E9" s="16" t="s">
        <v>48</v>
      </c>
      <c r="F9" s="26" t="s">
        <v>132</v>
      </c>
      <c r="G9" s="26" t="s">
        <v>46</v>
      </c>
      <c r="H9" s="81" t="s">
        <v>129</v>
      </c>
      <c r="I9" s="82" t="s">
        <v>226</v>
      </c>
      <c r="J9" s="212">
        <f>SUM(D9:D12)</f>
        <v>311</v>
      </c>
      <c r="K9" s="212">
        <f>SUM(Trimestres!H11:H13)</f>
        <v>144</v>
      </c>
      <c r="L9" s="212" t="str">
        <f>SUM(J9,K9)&amp;" horas"</f>
        <v>455 horas</v>
      </c>
      <c r="M9" s="212" t="s">
        <v>262</v>
      </c>
    </row>
    <row r="10" spans="2:13" ht="47.25" x14ac:dyDescent="0.2">
      <c r="B10" s="78">
        <v>220501093</v>
      </c>
      <c r="C10" s="14" t="s">
        <v>23</v>
      </c>
      <c r="D10" s="13">
        <v>70</v>
      </c>
      <c r="E10" s="16" t="s">
        <v>27</v>
      </c>
      <c r="F10" s="17" t="s">
        <v>263</v>
      </c>
      <c r="G10" s="17" t="s">
        <v>26</v>
      </c>
      <c r="H10" s="81" t="s">
        <v>129</v>
      </c>
      <c r="I10" s="82" t="s">
        <v>129</v>
      </c>
      <c r="J10" s="181"/>
      <c r="K10" s="181"/>
      <c r="L10" s="181"/>
      <c r="M10" s="181"/>
    </row>
    <row r="11" spans="2:13" ht="47.25" x14ac:dyDescent="0.2">
      <c r="B11" s="78">
        <v>220501093</v>
      </c>
      <c r="C11" s="14" t="s">
        <v>23</v>
      </c>
      <c r="D11" s="13">
        <v>71</v>
      </c>
      <c r="E11" s="16" t="s">
        <v>25</v>
      </c>
      <c r="F11" s="17" t="s">
        <v>136</v>
      </c>
      <c r="G11" s="17" t="s">
        <v>26</v>
      </c>
      <c r="H11" s="81" t="s">
        <v>129</v>
      </c>
      <c r="I11" s="82" t="s">
        <v>129</v>
      </c>
      <c r="J11" s="181"/>
      <c r="K11" s="181"/>
      <c r="L11" s="181"/>
      <c r="M11" s="181"/>
    </row>
    <row r="12" spans="2:13" x14ac:dyDescent="0.2">
      <c r="B12" s="83">
        <v>220501096</v>
      </c>
      <c r="C12" s="84" t="s">
        <v>43</v>
      </c>
      <c r="D12" s="85">
        <v>100</v>
      </c>
      <c r="E12" s="19" t="s">
        <v>49</v>
      </c>
      <c r="F12" s="86" t="s">
        <v>142</v>
      </c>
      <c r="G12" s="86" t="s">
        <v>46</v>
      </c>
      <c r="H12" s="87" t="s">
        <v>129</v>
      </c>
      <c r="I12" s="88" t="s">
        <v>226</v>
      </c>
      <c r="J12" s="182"/>
      <c r="K12" s="182"/>
      <c r="L12" s="182"/>
      <c r="M12" s="182"/>
    </row>
    <row r="13" spans="2:13" ht="47.25" x14ac:dyDescent="0.2">
      <c r="B13" s="12">
        <v>220501093</v>
      </c>
      <c r="C13" s="14" t="s">
        <v>23</v>
      </c>
      <c r="D13" s="13">
        <v>70</v>
      </c>
      <c r="E13" s="37" t="s">
        <v>30</v>
      </c>
      <c r="F13" s="17" t="s">
        <v>264</v>
      </c>
      <c r="G13" s="17" t="s">
        <v>26</v>
      </c>
      <c r="H13" s="81" t="s">
        <v>157</v>
      </c>
      <c r="I13" s="81" t="s">
        <v>157</v>
      </c>
      <c r="J13" s="209">
        <f>SUM(D13:D16)</f>
        <v>286</v>
      </c>
      <c r="K13" s="209">
        <f>SUM(Trimestres!D27:D29)</f>
        <v>144</v>
      </c>
      <c r="L13" s="211" t="str">
        <f>SUM(J13,K13)&amp;" horas"</f>
        <v>430 horas</v>
      </c>
      <c r="M13" s="209" t="s">
        <v>265</v>
      </c>
    </row>
    <row r="14" spans="2:13" ht="31.5" x14ac:dyDescent="0.2">
      <c r="B14" s="3">
        <v>220501095</v>
      </c>
      <c r="C14" s="5" t="s">
        <v>31</v>
      </c>
      <c r="D14" s="13">
        <v>84</v>
      </c>
      <c r="E14" s="48" t="s">
        <v>34</v>
      </c>
      <c r="F14" s="20" t="s">
        <v>266</v>
      </c>
      <c r="G14" s="20" t="s">
        <v>33</v>
      </c>
      <c r="H14" s="89" t="s">
        <v>157</v>
      </c>
      <c r="I14" s="89" t="s">
        <v>157</v>
      </c>
      <c r="J14" s="181"/>
      <c r="K14" s="181"/>
      <c r="L14" s="181"/>
      <c r="M14" s="181"/>
    </row>
    <row r="15" spans="2:13" ht="31.5" x14ac:dyDescent="0.2">
      <c r="B15" s="3">
        <v>220501095</v>
      </c>
      <c r="C15" s="5" t="s">
        <v>31</v>
      </c>
      <c r="D15" s="13">
        <v>84</v>
      </c>
      <c r="E15" s="7" t="s">
        <v>32</v>
      </c>
      <c r="F15" s="20" t="s">
        <v>267</v>
      </c>
      <c r="G15" s="20" t="s">
        <v>33</v>
      </c>
      <c r="H15" s="90" t="s">
        <v>157</v>
      </c>
      <c r="I15" s="90" t="s">
        <v>157</v>
      </c>
      <c r="J15" s="181"/>
      <c r="K15" s="181"/>
      <c r="L15" s="181"/>
      <c r="M15" s="181"/>
    </row>
    <row r="16" spans="2:13" ht="47.25" x14ac:dyDescent="0.2">
      <c r="B16" s="91">
        <v>220501094</v>
      </c>
      <c r="C16" s="92" t="s">
        <v>39</v>
      </c>
      <c r="D16" s="93">
        <v>48</v>
      </c>
      <c r="E16" s="94" t="s">
        <v>40</v>
      </c>
      <c r="F16" s="95" t="s">
        <v>268</v>
      </c>
      <c r="G16" s="95" t="s">
        <v>33</v>
      </c>
      <c r="H16" s="96" t="s">
        <v>157</v>
      </c>
      <c r="I16" s="96" t="s">
        <v>157</v>
      </c>
      <c r="J16" s="210"/>
      <c r="K16" s="210"/>
      <c r="L16" s="210"/>
      <c r="M16" s="210"/>
    </row>
    <row r="17" spans="2:13" ht="47.25" x14ac:dyDescent="0.2">
      <c r="B17" s="3">
        <v>220501094</v>
      </c>
      <c r="C17" s="5" t="s">
        <v>39</v>
      </c>
      <c r="D17" s="13">
        <v>48</v>
      </c>
      <c r="E17" s="7" t="s">
        <v>41</v>
      </c>
      <c r="F17" s="20" t="s">
        <v>269</v>
      </c>
      <c r="G17" s="20" t="s">
        <v>33</v>
      </c>
      <c r="H17" s="90" t="s">
        <v>158</v>
      </c>
      <c r="I17" s="90" t="s">
        <v>158</v>
      </c>
      <c r="J17" s="213">
        <f>SUM(D17:D20)</f>
        <v>330</v>
      </c>
      <c r="K17" s="212">
        <f>SUM(Trimestres!H27:H29)</f>
        <v>144</v>
      </c>
      <c r="L17" s="212" t="str">
        <f>SUM(J17,K17)&amp;" horas"</f>
        <v>474 horas</v>
      </c>
      <c r="M17" s="212" t="s">
        <v>270</v>
      </c>
    </row>
    <row r="18" spans="2:13" ht="47.25" x14ac:dyDescent="0.2">
      <c r="B18" s="3">
        <v>220501098</v>
      </c>
      <c r="C18" s="5" t="s">
        <v>52</v>
      </c>
      <c r="D18" s="13">
        <v>48</v>
      </c>
      <c r="E18" s="97" t="s">
        <v>53</v>
      </c>
      <c r="F18" s="26" t="s">
        <v>271</v>
      </c>
      <c r="G18" s="26" t="s">
        <v>46</v>
      </c>
      <c r="H18" s="98" t="s">
        <v>158</v>
      </c>
      <c r="I18" s="98" t="s">
        <v>158</v>
      </c>
      <c r="J18" s="181"/>
      <c r="K18" s="181"/>
      <c r="L18" s="181"/>
      <c r="M18" s="181"/>
    </row>
    <row r="19" spans="2:13" x14ac:dyDescent="0.2">
      <c r="B19" s="12">
        <v>220501096</v>
      </c>
      <c r="C19" s="14" t="s">
        <v>43</v>
      </c>
      <c r="D19" s="13">
        <v>150</v>
      </c>
      <c r="E19" s="16" t="s">
        <v>47</v>
      </c>
      <c r="F19" s="26" t="s">
        <v>272</v>
      </c>
      <c r="G19" s="26" t="s">
        <v>46</v>
      </c>
      <c r="H19" s="81" t="s">
        <v>158</v>
      </c>
      <c r="I19" s="81" t="s">
        <v>158</v>
      </c>
      <c r="J19" s="181"/>
      <c r="K19" s="181"/>
      <c r="L19" s="181"/>
      <c r="M19" s="181"/>
    </row>
    <row r="20" spans="2:13" ht="31.5" x14ac:dyDescent="0.2">
      <c r="B20" s="91">
        <v>220501095</v>
      </c>
      <c r="C20" s="92" t="s">
        <v>31</v>
      </c>
      <c r="D20" s="93">
        <v>84</v>
      </c>
      <c r="E20" s="94" t="s">
        <v>36</v>
      </c>
      <c r="F20" s="95" t="s">
        <v>273</v>
      </c>
      <c r="G20" s="95" t="s">
        <v>33</v>
      </c>
      <c r="H20" s="96" t="s">
        <v>158</v>
      </c>
      <c r="I20" s="96" t="s">
        <v>158</v>
      </c>
      <c r="J20" s="210"/>
      <c r="K20" s="182"/>
      <c r="L20" s="210"/>
      <c r="M20" s="182"/>
    </row>
    <row r="21" spans="2:13" ht="47.25" x14ac:dyDescent="0.2">
      <c r="B21" s="3">
        <v>220501098</v>
      </c>
      <c r="C21" s="5" t="s">
        <v>52</v>
      </c>
      <c r="D21" s="13">
        <v>48</v>
      </c>
      <c r="E21" s="99" t="s">
        <v>54</v>
      </c>
      <c r="F21" s="26" t="s">
        <v>274</v>
      </c>
      <c r="G21" s="26" t="s">
        <v>46</v>
      </c>
      <c r="H21" s="100" t="s">
        <v>200</v>
      </c>
      <c r="I21" s="100" t="s">
        <v>200</v>
      </c>
      <c r="J21" s="213">
        <f>SUM(D21:D25)</f>
        <v>286</v>
      </c>
      <c r="K21" s="209">
        <f>SUM(Trimestres!D41:D43)</f>
        <v>144</v>
      </c>
      <c r="L21" s="212" t="str">
        <f>SUM(J21,K21)&amp;" horas"</f>
        <v>430 horas</v>
      </c>
      <c r="M21" s="209" t="s">
        <v>275</v>
      </c>
    </row>
    <row r="22" spans="2:13" ht="47.25" x14ac:dyDescent="0.2">
      <c r="B22" s="3">
        <v>220501094</v>
      </c>
      <c r="C22" s="5" t="s">
        <v>39</v>
      </c>
      <c r="D22" s="13">
        <v>48</v>
      </c>
      <c r="E22" s="7" t="s">
        <v>42</v>
      </c>
      <c r="F22" s="20" t="s">
        <v>276</v>
      </c>
      <c r="G22" s="20" t="s">
        <v>33</v>
      </c>
      <c r="H22" s="90" t="s">
        <v>200</v>
      </c>
      <c r="I22" s="90" t="s">
        <v>200</v>
      </c>
      <c r="J22" s="181"/>
      <c r="K22" s="181"/>
      <c r="L22" s="181"/>
      <c r="M22" s="181"/>
    </row>
    <row r="23" spans="2:13" ht="31.5" x14ac:dyDescent="0.2">
      <c r="B23" s="3">
        <v>220501095</v>
      </c>
      <c r="C23" s="5" t="s">
        <v>31</v>
      </c>
      <c r="D23" s="13">
        <v>84</v>
      </c>
      <c r="E23" s="9" t="s">
        <v>38</v>
      </c>
      <c r="F23" s="20" t="s">
        <v>277</v>
      </c>
      <c r="G23" s="20" t="s">
        <v>33</v>
      </c>
      <c r="H23" s="89" t="s">
        <v>200</v>
      </c>
      <c r="I23" s="89" t="s">
        <v>200</v>
      </c>
      <c r="J23" s="181"/>
      <c r="K23" s="181"/>
      <c r="L23" s="181"/>
      <c r="M23" s="181"/>
    </row>
    <row r="24" spans="2:13" x14ac:dyDescent="0.2">
      <c r="B24" s="12">
        <v>220501096</v>
      </c>
      <c r="C24" s="14" t="s">
        <v>43</v>
      </c>
      <c r="D24" s="13">
        <v>70</v>
      </c>
      <c r="E24" s="24" t="s">
        <v>51</v>
      </c>
      <c r="F24" s="26" t="s">
        <v>278</v>
      </c>
      <c r="G24" s="26" t="s">
        <v>46</v>
      </c>
      <c r="H24" s="79" t="s">
        <v>200</v>
      </c>
      <c r="I24" s="79" t="s">
        <v>201</v>
      </c>
      <c r="J24" s="181"/>
      <c r="K24" s="181"/>
      <c r="L24" s="181"/>
      <c r="M24" s="210"/>
    </row>
    <row r="25" spans="2:13" x14ac:dyDescent="0.2">
      <c r="B25" s="91">
        <v>220501097</v>
      </c>
      <c r="C25" s="92" t="s">
        <v>56</v>
      </c>
      <c r="D25" s="93">
        <v>36</v>
      </c>
      <c r="E25" s="94" t="s">
        <v>57</v>
      </c>
      <c r="F25" s="101" t="s">
        <v>279</v>
      </c>
      <c r="G25" s="101" t="s">
        <v>58</v>
      </c>
      <c r="H25" s="96" t="s">
        <v>200</v>
      </c>
      <c r="I25" s="96" t="s">
        <v>200</v>
      </c>
      <c r="J25" s="210"/>
      <c r="K25" s="210"/>
      <c r="L25" s="210"/>
    </row>
    <row r="26" spans="2:13" ht="47.25" x14ac:dyDescent="0.2">
      <c r="B26" s="3">
        <v>220501098</v>
      </c>
      <c r="C26" s="5" t="s">
        <v>52</v>
      </c>
      <c r="D26" s="13">
        <v>48</v>
      </c>
      <c r="E26" s="102" t="s">
        <v>55</v>
      </c>
      <c r="F26" s="26" t="s">
        <v>280</v>
      </c>
      <c r="G26" s="26" t="s">
        <v>46</v>
      </c>
      <c r="H26" s="103" t="s">
        <v>201</v>
      </c>
      <c r="I26" s="103" t="s">
        <v>201</v>
      </c>
      <c r="K26" s="104">
        <f>SUM(Trimestres!H43)</f>
        <v>48</v>
      </c>
    </row>
    <row r="27" spans="2:13" x14ac:dyDescent="0.2">
      <c r="B27" s="12">
        <v>220501096</v>
      </c>
      <c r="C27" s="14" t="s">
        <v>43</v>
      </c>
      <c r="D27" s="13">
        <v>70</v>
      </c>
      <c r="E27" s="24" t="s">
        <v>51</v>
      </c>
      <c r="F27" s="26" t="s">
        <v>278</v>
      </c>
      <c r="G27" s="26" t="s">
        <v>46</v>
      </c>
      <c r="H27" s="79" t="s">
        <v>201</v>
      </c>
      <c r="I27" s="79" t="s">
        <v>201</v>
      </c>
    </row>
    <row r="28" spans="2:13" x14ac:dyDescent="0.2">
      <c r="B28" s="3">
        <v>220501097</v>
      </c>
      <c r="C28" s="5" t="s">
        <v>56</v>
      </c>
      <c r="D28" s="13">
        <v>36</v>
      </c>
      <c r="E28" s="9" t="s">
        <v>60</v>
      </c>
      <c r="F28" s="33" t="s">
        <v>281</v>
      </c>
      <c r="G28" s="33" t="s">
        <v>58</v>
      </c>
      <c r="H28" s="89" t="s">
        <v>201</v>
      </c>
      <c r="I28" s="89" t="s">
        <v>201</v>
      </c>
    </row>
    <row r="29" spans="2:13" x14ac:dyDescent="0.2">
      <c r="B29" s="3">
        <v>220501097</v>
      </c>
      <c r="C29" s="5" t="s">
        <v>56</v>
      </c>
      <c r="D29" s="13">
        <v>36</v>
      </c>
      <c r="E29" s="105" t="s">
        <v>61</v>
      </c>
      <c r="F29" s="33" t="s">
        <v>282</v>
      </c>
      <c r="G29" s="33" t="s">
        <v>58</v>
      </c>
      <c r="H29" s="106" t="s">
        <v>201</v>
      </c>
      <c r="I29" s="106" t="s">
        <v>201</v>
      </c>
    </row>
    <row r="30" spans="2:13" x14ac:dyDescent="0.2">
      <c r="B30" s="12">
        <v>220501096</v>
      </c>
      <c r="C30" s="14" t="s">
        <v>43</v>
      </c>
      <c r="D30" s="13">
        <v>134</v>
      </c>
      <c r="E30" s="107" t="s">
        <v>49</v>
      </c>
      <c r="F30" s="26" t="s">
        <v>142</v>
      </c>
      <c r="G30" s="26" t="s">
        <v>46</v>
      </c>
      <c r="H30" s="108" t="s">
        <v>201</v>
      </c>
      <c r="I30" s="108" t="s">
        <v>226</v>
      </c>
    </row>
    <row r="31" spans="2:13" x14ac:dyDescent="0.2">
      <c r="B31" s="83">
        <v>220501096</v>
      </c>
      <c r="C31" s="84" t="s">
        <v>43</v>
      </c>
      <c r="D31" s="85">
        <v>31</v>
      </c>
      <c r="E31" s="19" t="s">
        <v>45</v>
      </c>
      <c r="F31" s="86" t="s">
        <v>130</v>
      </c>
      <c r="G31" s="86" t="s">
        <v>46</v>
      </c>
      <c r="H31" s="87" t="s">
        <v>201</v>
      </c>
      <c r="I31" s="88" t="s">
        <v>226</v>
      </c>
    </row>
    <row r="32" spans="2:13" x14ac:dyDescent="0.25">
      <c r="B32" s="109">
        <v>220501096</v>
      </c>
      <c r="C32" s="110" t="s">
        <v>43</v>
      </c>
      <c r="D32" s="111">
        <v>45</v>
      </c>
      <c r="E32" s="112" t="s">
        <v>48</v>
      </c>
      <c r="F32" s="113" t="s">
        <v>132</v>
      </c>
      <c r="G32" s="113" t="s">
        <v>46</v>
      </c>
      <c r="H32" s="87" t="s">
        <v>201</v>
      </c>
      <c r="I32" s="88" t="s">
        <v>226</v>
      </c>
    </row>
    <row r="33" spans="2:9" x14ac:dyDescent="0.2">
      <c r="B33" s="114">
        <v>220501097</v>
      </c>
      <c r="C33" s="43" t="s">
        <v>56</v>
      </c>
      <c r="D33" s="85">
        <v>36</v>
      </c>
      <c r="E33" s="11" t="s">
        <v>59</v>
      </c>
      <c r="F33" s="115" t="s">
        <v>283</v>
      </c>
      <c r="G33" s="115" t="s">
        <v>58</v>
      </c>
      <c r="H33" s="116" t="s">
        <v>226</v>
      </c>
      <c r="I33" s="117" t="s">
        <v>226</v>
      </c>
    </row>
    <row r="34" spans="2:9" x14ac:dyDescent="0.2">
      <c r="B34" s="83">
        <v>220501096</v>
      </c>
      <c r="C34" s="84" t="s">
        <v>43</v>
      </c>
      <c r="D34" s="85">
        <v>134</v>
      </c>
      <c r="E34" s="19" t="s">
        <v>49</v>
      </c>
      <c r="F34" s="86" t="s">
        <v>142</v>
      </c>
      <c r="G34" s="86" t="s">
        <v>46</v>
      </c>
      <c r="H34" s="87" t="s">
        <v>226</v>
      </c>
      <c r="I34" s="88" t="s">
        <v>226</v>
      </c>
    </row>
    <row r="35" spans="2:9" x14ac:dyDescent="0.2">
      <c r="B35" s="118">
        <v>220501096</v>
      </c>
      <c r="C35" s="119" t="s">
        <v>43</v>
      </c>
      <c r="D35" s="120">
        <v>32</v>
      </c>
      <c r="E35" s="121" t="s">
        <v>45</v>
      </c>
      <c r="F35" s="122" t="s">
        <v>130</v>
      </c>
      <c r="G35" s="122" t="s">
        <v>46</v>
      </c>
      <c r="H35" s="87" t="s">
        <v>226</v>
      </c>
      <c r="I35" s="88" t="s">
        <v>226</v>
      </c>
    </row>
    <row r="36" spans="2:9" x14ac:dyDescent="0.25">
      <c r="B36" s="123">
        <v>220501096</v>
      </c>
      <c r="C36" s="124" t="s">
        <v>43</v>
      </c>
      <c r="D36" s="125">
        <v>95</v>
      </c>
      <c r="E36" s="126" t="s">
        <v>48</v>
      </c>
      <c r="F36" s="127" t="s">
        <v>132</v>
      </c>
      <c r="G36" s="127" t="s">
        <v>46</v>
      </c>
      <c r="H36" s="88" t="s">
        <v>226</v>
      </c>
      <c r="I36" s="88" t="s">
        <v>226</v>
      </c>
    </row>
  </sheetData>
  <autoFilter ref="B2:I36" xr:uid="{00000000-0009-0000-0000-000003000000}">
    <sortState xmlns:xlrd2="http://schemas.microsoft.com/office/spreadsheetml/2017/richdata2" ref="B2:I36">
      <sortCondition ref="H2:H36"/>
      <sortCondition ref="G2:G36"/>
      <sortCondition ref="I2:I36"/>
    </sortState>
  </autoFilter>
  <mergeCells count="20">
    <mergeCell ref="J17:J20"/>
    <mergeCell ref="K17:K20"/>
    <mergeCell ref="L17:L20"/>
    <mergeCell ref="M17:M20"/>
    <mergeCell ref="J21:J25"/>
    <mergeCell ref="K21:K25"/>
    <mergeCell ref="L21:L25"/>
    <mergeCell ref="M21:M24"/>
    <mergeCell ref="J13:J16"/>
    <mergeCell ref="K13:K16"/>
    <mergeCell ref="L13:L16"/>
    <mergeCell ref="M13:M16"/>
    <mergeCell ref="J3:J8"/>
    <mergeCell ref="K3:K8"/>
    <mergeCell ref="L3:L8"/>
    <mergeCell ref="M3:M8"/>
    <mergeCell ref="K9:K12"/>
    <mergeCell ref="L9:L12"/>
    <mergeCell ref="M9:M12"/>
    <mergeCell ref="J9:J12"/>
  </mergeCells>
  <dataValidations count="1">
    <dataValidation type="list" allowBlank="1" showErrorMessage="1" sqref="H3:I36" xr:uid="{00000000-0002-0000-0300-000000000000}">
      <formula1>"1º Trimestre,2º Trimestre,3º Trimestre,4º Trimestre,5º Trimestre,6º Trimestre,7º Trimestre"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I_3314566</vt:lpstr>
      <vt:lpstr>II_3314566</vt:lpstr>
      <vt:lpstr>Competencias</vt:lpstr>
      <vt:lpstr>Trimestres</vt:lpstr>
      <vt:lpstr>Conocimientos</vt:lpstr>
      <vt:lpstr>Resultado  Filtro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Carlos Andres Loaiza Rendon</cp:lastModifiedBy>
  <cp:revision/>
  <dcterms:created xsi:type="dcterms:W3CDTF">2023-11-08T18:03:44Z</dcterms:created>
  <dcterms:modified xsi:type="dcterms:W3CDTF">2026-04-20T15:37:43Z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2025-09-02T19:37:03Z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20e5a4a7-9803-4990-94f4-cf0422d55259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